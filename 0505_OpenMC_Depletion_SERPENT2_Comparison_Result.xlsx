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h8\Desktop\UWM\UWM_05_OpenMC_Study\UWM_0505_OpenMC_Depletion_SERPENT2_Compare\"/>
    </mc:Choice>
  </mc:AlternateContent>
  <xr:revisionPtr revIDLastSave="0" documentId="13_ncr:1_{CCECF526-A059-42D4-9006-477854E4A24F}" xr6:coauthVersionLast="47" xr6:coauthVersionMax="47" xr10:uidLastSave="{00000000-0000-0000-0000-000000000000}"/>
  <bookViews>
    <workbookView xWindow="-120" yWindow="-120" windowWidth="29040" windowHeight="16440" activeTab="5" xr2:uid="{D0CC4D65-D221-4CE0-8E3C-37BE23365745}"/>
  </bookViews>
  <sheets>
    <sheet name="01_NaCl-UCl3" sheetId="2" r:id="rId1"/>
    <sheet name="02_NaCl-UCl3 (Gas Removal)" sheetId="3" r:id="rId2"/>
    <sheet name="03_LiCl-AnCl3" sheetId="4" r:id="rId3"/>
    <sheet name="04_NaCl_AnCl3" sheetId="5" r:id="rId4"/>
    <sheet name="05_LiCl_UCl3" sheetId="6" r:id="rId5"/>
    <sheet name="06_LiCl_NpCl3_ETC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7" l="1"/>
  <c r="L61" i="7"/>
  <c r="O61" i="7" s="1"/>
  <c r="H61" i="7"/>
  <c r="N60" i="7"/>
  <c r="L60" i="7"/>
  <c r="O60" i="7" s="1"/>
  <c r="H60" i="7"/>
  <c r="N59" i="7"/>
  <c r="L59" i="7"/>
  <c r="O59" i="7" s="1"/>
  <c r="H59" i="7"/>
  <c r="O58" i="7"/>
  <c r="N58" i="7"/>
  <c r="L58" i="7"/>
  <c r="H58" i="7"/>
  <c r="N57" i="7"/>
  <c r="L57" i="7"/>
  <c r="H57" i="7"/>
  <c r="O57" i="7" s="1"/>
  <c r="O56" i="7"/>
  <c r="N56" i="7"/>
  <c r="L56" i="7"/>
  <c r="H56" i="7"/>
  <c r="N55" i="7"/>
  <c r="L55" i="7"/>
  <c r="H55" i="7"/>
  <c r="O55" i="7" s="1"/>
  <c r="N54" i="7"/>
  <c r="L54" i="7"/>
  <c r="H54" i="7"/>
  <c r="O54" i="7" s="1"/>
  <c r="N53" i="7"/>
  <c r="L53" i="7"/>
  <c r="O53" i="7" s="1"/>
  <c r="H53" i="7"/>
  <c r="N52" i="7"/>
  <c r="L52" i="7"/>
  <c r="O52" i="7" s="1"/>
  <c r="H52" i="7"/>
  <c r="O51" i="7"/>
  <c r="N51" i="7"/>
  <c r="L51" i="7"/>
  <c r="H51" i="7"/>
  <c r="N50" i="7"/>
  <c r="L50" i="7"/>
  <c r="H50" i="7"/>
  <c r="O50" i="7" s="1"/>
  <c r="O46" i="7"/>
  <c r="N46" i="7"/>
  <c r="L46" i="7"/>
  <c r="H46" i="7"/>
  <c r="N45" i="7"/>
  <c r="L45" i="7"/>
  <c r="H45" i="7"/>
  <c r="O45" i="7" s="1"/>
  <c r="N44" i="7"/>
  <c r="L44" i="7"/>
  <c r="H44" i="7"/>
  <c r="O44" i="7" s="1"/>
  <c r="N43" i="7"/>
  <c r="L43" i="7"/>
  <c r="O43" i="7" s="1"/>
  <c r="H43" i="7"/>
  <c r="N42" i="7"/>
  <c r="L42" i="7"/>
  <c r="O42" i="7" s="1"/>
  <c r="H42" i="7"/>
  <c r="O41" i="7"/>
  <c r="N41" i="7"/>
  <c r="L41" i="7"/>
  <c r="H41" i="7"/>
  <c r="N40" i="7"/>
  <c r="L40" i="7"/>
  <c r="H40" i="7"/>
  <c r="O40" i="7" s="1"/>
  <c r="O39" i="7"/>
  <c r="N39" i="7"/>
  <c r="L39" i="7"/>
  <c r="H39" i="7"/>
  <c r="N38" i="7"/>
  <c r="L38" i="7"/>
  <c r="H38" i="7"/>
  <c r="O38" i="7" s="1"/>
  <c r="N37" i="7"/>
  <c r="L37" i="7"/>
  <c r="H37" i="7"/>
  <c r="O37" i="7" s="1"/>
  <c r="N36" i="7"/>
  <c r="L36" i="7"/>
  <c r="O36" i="7" s="1"/>
  <c r="H36" i="7"/>
  <c r="N35" i="7"/>
  <c r="L35" i="7"/>
  <c r="O35" i="7" s="1"/>
  <c r="H35" i="7"/>
  <c r="O31" i="7"/>
  <c r="N31" i="7"/>
  <c r="L31" i="7"/>
  <c r="H31" i="7"/>
  <c r="N30" i="7"/>
  <c r="L30" i="7"/>
  <c r="H30" i="7"/>
  <c r="O30" i="7" s="1"/>
  <c r="O29" i="7"/>
  <c r="N29" i="7"/>
  <c r="L29" i="7"/>
  <c r="H29" i="7"/>
  <c r="N28" i="7"/>
  <c r="L28" i="7"/>
  <c r="H28" i="7"/>
  <c r="O28" i="7" s="1"/>
  <c r="N27" i="7"/>
  <c r="L27" i="7"/>
  <c r="H27" i="7"/>
  <c r="O27" i="7" s="1"/>
  <c r="N26" i="7"/>
  <c r="L26" i="7"/>
  <c r="O26" i="7" s="1"/>
  <c r="H26" i="7"/>
  <c r="N25" i="7"/>
  <c r="L25" i="7"/>
  <c r="O25" i="7" s="1"/>
  <c r="H25" i="7"/>
  <c r="O24" i="7"/>
  <c r="N24" i="7"/>
  <c r="L24" i="7"/>
  <c r="H24" i="7"/>
  <c r="N23" i="7"/>
  <c r="L23" i="7"/>
  <c r="H23" i="7"/>
  <c r="O23" i="7" s="1"/>
  <c r="O22" i="7"/>
  <c r="N22" i="7"/>
  <c r="L22" i="7"/>
  <c r="H22" i="7"/>
  <c r="N21" i="7"/>
  <c r="L21" i="7"/>
  <c r="H21" i="7"/>
  <c r="O21" i="7" s="1"/>
  <c r="N20" i="7"/>
  <c r="L20" i="7"/>
  <c r="H20" i="7"/>
  <c r="O20" i="7" s="1"/>
  <c r="N16" i="7"/>
  <c r="L16" i="7"/>
  <c r="O16" i="7" s="1"/>
  <c r="H16" i="7"/>
  <c r="N15" i="7"/>
  <c r="L15" i="7"/>
  <c r="O15" i="7" s="1"/>
  <c r="H15" i="7"/>
  <c r="O14" i="7"/>
  <c r="N14" i="7"/>
  <c r="L14" i="7"/>
  <c r="H14" i="7"/>
  <c r="N13" i="7"/>
  <c r="L13" i="7"/>
  <c r="H13" i="7"/>
  <c r="O13" i="7" s="1"/>
  <c r="O12" i="7"/>
  <c r="N12" i="7"/>
  <c r="L12" i="7"/>
  <c r="H12" i="7"/>
  <c r="N11" i="7"/>
  <c r="L11" i="7"/>
  <c r="H11" i="7"/>
  <c r="O11" i="7" s="1"/>
  <c r="N10" i="7"/>
  <c r="L10" i="7"/>
  <c r="H10" i="7"/>
  <c r="O10" i="7" s="1"/>
  <c r="N9" i="7"/>
  <c r="L9" i="7"/>
  <c r="O9" i="7" s="1"/>
  <c r="H9" i="7"/>
  <c r="N8" i="7"/>
  <c r="L8" i="7"/>
  <c r="O8" i="7" s="1"/>
  <c r="H8" i="7"/>
  <c r="O7" i="7"/>
  <c r="N7" i="7"/>
  <c r="L7" i="7"/>
  <c r="H7" i="7"/>
  <c r="N6" i="7"/>
  <c r="L6" i="7"/>
  <c r="H6" i="7"/>
  <c r="O6" i="7" s="1"/>
  <c r="O5" i="7"/>
  <c r="N5" i="7"/>
  <c r="L5" i="7"/>
  <c r="H5" i="7"/>
  <c r="L121" i="6"/>
  <c r="K121" i="6"/>
  <c r="H121" i="6"/>
  <c r="L120" i="6"/>
  <c r="K120" i="6"/>
  <c r="H120" i="6"/>
  <c r="L119" i="6"/>
  <c r="K119" i="6"/>
  <c r="H119" i="6"/>
  <c r="L118" i="6"/>
  <c r="K118" i="6"/>
  <c r="H118" i="6"/>
  <c r="L117" i="6"/>
  <c r="K117" i="6"/>
  <c r="H117" i="6"/>
  <c r="L116" i="6"/>
  <c r="K116" i="6"/>
  <c r="H116" i="6"/>
  <c r="L115" i="6"/>
  <c r="K115" i="6"/>
  <c r="H115" i="6"/>
  <c r="L114" i="6"/>
  <c r="K114" i="6"/>
  <c r="H114" i="6"/>
  <c r="L113" i="6"/>
  <c r="K113" i="6"/>
  <c r="H113" i="6"/>
  <c r="L112" i="6"/>
  <c r="K112" i="6"/>
  <c r="H112" i="6"/>
  <c r="L111" i="6"/>
  <c r="K111" i="6"/>
  <c r="H111" i="6"/>
  <c r="L110" i="6"/>
  <c r="K110" i="6"/>
  <c r="H110" i="6"/>
  <c r="L109" i="6"/>
  <c r="K109" i="6"/>
  <c r="H109" i="6"/>
  <c r="L108" i="6"/>
  <c r="K108" i="6"/>
  <c r="H108" i="6"/>
  <c r="L107" i="6"/>
  <c r="K107" i="6"/>
  <c r="H107" i="6"/>
  <c r="L106" i="6"/>
  <c r="K106" i="6"/>
  <c r="H106" i="6"/>
  <c r="L105" i="6"/>
  <c r="K105" i="6"/>
  <c r="H105" i="6"/>
  <c r="L104" i="6"/>
  <c r="K104" i="6"/>
  <c r="H104" i="6"/>
  <c r="L103" i="6"/>
  <c r="K103" i="6"/>
  <c r="H103" i="6"/>
  <c r="L102" i="6"/>
  <c r="K102" i="6"/>
  <c r="H102" i="6"/>
  <c r="L101" i="6"/>
  <c r="K101" i="6"/>
  <c r="H101" i="6"/>
  <c r="L100" i="6"/>
  <c r="K100" i="6"/>
  <c r="H100" i="6"/>
  <c r="L99" i="6"/>
  <c r="K99" i="6"/>
  <c r="H99" i="6"/>
  <c r="L98" i="6"/>
  <c r="K98" i="6"/>
  <c r="H98" i="6"/>
  <c r="L97" i="6"/>
  <c r="K97" i="6"/>
  <c r="H97" i="6"/>
  <c r="L96" i="6"/>
  <c r="K96" i="6"/>
  <c r="H96" i="6"/>
  <c r="L95" i="6"/>
  <c r="K95" i="6"/>
  <c r="H95" i="6"/>
  <c r="L91" i="6"/>
  <c r="K91" i="6"/>
  <c r="H91" i="6"/>
  <c r="L90" i="6"/>
  <c r="K90" i="6"/>
  <c r="H90" i="6"/>
  <c r="L89" i="6"/>
  <c r="K89" i="6"/>
  <c r="H89" i="6"/>
  <c r="L88" i="6"/>
  <c r="K88" i="6"/>
  <c r="H88" i="6"/>
  <c r="L87" i="6"/>
  <c r="K87" i="6"/>
  <c r="H87" i="6"/>
  <c r="L86" i="6"/>
  <c r="K86" i="6"/>
  <c r="H86" i="6"/>
  <c r="L85" i="6"/>
  <c r="K85" i="6"/>
  <c r="H85" i="6"/>
  <c r="L84" i="6"/>
  <c r="K84" i="6"/>
  <c r="H84" i="6"/>
  <c r="L83" i="6"/>
  <c r="K83" i="6"/>
  <c r="H83" i="6"/>
  <c r="L82" i="6"/>
  <c r="K82" i="6"/>
  <c r="H82" i="6"/>
  <c r="L81" i="6"/>
  <c r="K81" i="6"/>
  <c r="H81" i="6"/>
  <c r="L80" i="6"/>
  <c r="K80" i="6"/>
  <c r="H80" i="6"/>
  <c r="L79" i="6"/>
  <c r="K79" i="6"/>
  <c r="H79" i="6"/>
  <c r="L78" i="6"/>
  <c r="K78" i="6"/>
  <c r="H78" i="6"/>
  <c r="L77" i="6"/>
  <c r="K77" i="6"/>
  <c r="H77" i="6"/>
  <c r="L76" i="6"/>
  <c r="K76" i="6"/>
  <c r="H76" i="6"/>
  <c r="L75" i="6"/>
  <c r="K75" i="6"/>
  <c r="H75" i="6"/>
  <c r="L74" i="6"/>
  <c r="K74" i="6"/>
  <c r="H74" i="6"/>
  <c r="L73" i="6"/>
  <c r="K73" i="6"/>
  <c r="H73" i="6"/>
  <c r="L72" i="6"/>
  <c r="K72" i="6"/>
  <c r="H72" i="6"/>
  <c r="L71" i="6"/>
  <c r="K71" i="6"/>
  <c r="H71" i="6"/>
  <c r="L70" i="6"/>
  <c r="K70" i="6"/>
  <c r="H70" i="6"/>
  <c r="L69" i="6"/>
  <c r="K69" i="6"/>
  <c r="H69" i="6"/>
  <c r="L68" i="6"/>
  <c r="K68" i="6"/>
  <c r="H68" i="6"/>
  <c r="L67" i="6"/>
  <c r="K67" i="6"/>
  <c r="H67" i="6"/>
  <c r="L66" i="6"/>
  <c r="K66" i="6"/>
  <c r="H66" i="6"/>
  <c r="L65" i="6"/>
  <c r="K65" i="6"/>
  <c r="H65" i="6"/>
  <c r="L61" i="6"/>
  <c r="K61" i="6"/>
  <c r="H61" i="6"/>
  <c r="L60" i="6"/>
  <c r="K60" i="6"/>
  <c r="H60" i="6"/>
  <c r="L59" i="6"/>
  <c r="K59" i="6"/>
  <c r="H59" i="6"/>
  <c r="L58" i="6"/>
  <c r="K58" i="6"/>
  <c r="H58" i="6"/>
  <c r="L57" i="6"/>
  <c r="K57" i="6"/>
  <c r="H57" i="6"/>
  <c r="L56" i="6"/>
  <c r="K56" i="6"/>
  <c r="H56" i="6"/>
  <c r="L55" i="6"/>
  <c r="K55" i="6"/>
  <c r="H55" i="6"/>
  <c r="L54" i="6"/>
  <c r="K54" i="6"/>
  <c r="H54" i="6"/>
  <c r="L53" i="6"/>
  <c r="K53" i="6"/>
  <c r="H53" i="6"/>
  <c r="L52" i="6"/>
  <c r="K52" i="6"/>
  <c r="H52" i="6"/>
  <c r="L51" i="6"/>
  <c r="K51" i="6"/>
  <c r="H51" i="6"/>
  <c r="L50" i="6"/>
  <c r="K50" i="6"/>
  <c r="H50" i="6"/>
  <c r="L49" i="6"/>
  <c r="K49" i="6"/>
  <c r="H49" i="6"/>
  <c r="L48" i="6"/>
  <c r="K48" i="6"/>
  <c r="H48" i="6"/>
  <c r="L47" i="6"/>
  <c r="K47" i="6"/>
  <c r="H47" i="6"/>
  <c r="L46" i="6"/>
  <c r="K46" i="6"/>
  <c r="H46" i="6"/>
  <c r="L45" i="6"/>
  <c r="K45" i="6"/>
  <c r="H45" i="6"/>
  <c r="L44" i="6"/>
  <c r="K44" i="6"/>
  <c r="H44" i="6"/>
  <c r="L43" i="6"/>
  <c r="K43" i="6"/>
  <c r="H43" i="6"/>
  <c r="L42" i="6"/>
  <c r="K42" i="6"/>
  <c r="H42" i="6"/>
  <c r="L41" i="6"/>
  <c r="K41" i="6"/>
  <c r="H41" i="6"/>
  <c r="L40" i="6"/>
  <c r="K40" i="6"/>
  <c r="H40" i="6"/>
  <c r="L39" i="6"/>
  <c r="K39" i="6"/>
  <c r="H39" i="6"/>
  <c r="L38" i="6"/>
  <c r="K38" i="6"/>
  <c r="H38" i="6"/>
  <c r="L37" i="6"/>
  <c r="K37" i="6"/>
  <c r="H37" i="6"/>
  <c r="L36" i="6"/>
  <c r="K36" i="6"/>
  <c r="H36" i="6"/>
  <c r="L35" i="6"/>
  <c r="K35" i="6"/>
  <c r="H35" i="6"/>
  <c r="L31" i="6"/>
  <c r="K31" i="6"/>
  <c r="H31" i="6"/>
  <c r="L30" i="6"/>
  <c r="K30" i="6"/>
  <c r="H30" i="6"/>
  <c r="L29" i="6"/>
  <c r="K29" i="6"/>
  <c r="H29" i="6"/>
  <c r="L28" i="6"/>
  <c r="K28" i="6"/>
  <c r="H28" i="6"/>
  <c r="L27" i="6"/>
  <c r="K27" i="6"/>
  <c r="H27" i="6"/>
  <c r="L26" i="6"/>
  <c r="K26" i="6"/>
  <c r="H26" i="6"/>
  <c r="L25" i="6"/>
  <c r="K25" i="6"/>
  <c r="H25" i="6"/>
  <c r="L24" i="6"/>
  <c r="K24" i="6"/>
  <c r="H24" i="6"/>
  <c r="L23" i="6"/>
  <c r="K23" i="6"/>
  <c r="H23" i="6"/>
  <c r="L22" i="6"/>
  <c r="K22" i="6"/>
  <c r="H22" i="6"/>
  <c r="L21" i="6"/>
  <c r="K21" i="6"/>
  <c r="H21" i="6"/>
  <c r="L20" i="6"/>
  <c r="K20" i="6"/>
  <c r="H20" i="6"/>
  <c r="L19" i="6"/>
  <c r="K19" i="6"/>
  <c r="H19" i="6"/>
  <c r="L18" i="6"/>
  <c r="K18" i="6"/>
  <c r="H18" i="6"/>
  <c r="L17" i="6"/>
  <c r="K17" i="6"/>
  <c r="H17" i="6"/>
  <c r="L16" i="6"/>
  <c r="K16" i="6"/>
  <c r="H16" i="6"/>
  <c r="L15" i="6"/>
  <c r="K15" i="6"/>
  <c r="H15" i="6"/>
  <c r="L14" i="6"/>
  <c r="K14" i="6"/>
  <c r="H14" i="6"/>
  <c r="L13" i="6"/>
  <c r="K13" i="6"/>
  <c r="H13" i="6"/>
  <c r="L12" i="6"/>
  <c r="K12" i="6"/>
  <c r="H12" i="6"/>
  <c r="L11" i="6"/>
  <c r="K11" i="6"/>
  <c r="H11" i="6"/>
  <c r="L10" i="6"/>
  <c r="K10" i="6"/>
  <c r="H10" i="6"/>
  <c r="L9" i="6"/>
  <c r="K9" i="6"/>
  <c r="H9" i="6"/>
  <c r="L8" i="6"/>
  <c r="K8" i="6"/>
  <c r="H8" i="6"/>
  <c r="L7" i="6"/>
  <c r="K7" i="6"/>
  <c r="H7" i="6"/>
  <c r="L6" i="6"/>
  <c r="K6" i="6"/>
  <c r="H6" i="6"/>
  <c r="L5" i="6"/>
  <c r="K5" i="6"/>
  <c r="H5" i="6"/>
  <c r="L121" i="5"/>
  <c r="K121" i="5"/>
  <c r="H121" i="5"/>
  <c r="L120" i="5"/>
  <c r="K120" i="5"/>
  <c r="H120" i="5"/>
  <c r="L119" i="5"/>
  <c r="K119" i="5"/>
  <c r="H119" i="5"/>
  <c r="L118" i="5"/>
  <c r="K118" i="5"/>
  <c r="H118" i="5"/>
  <c r="L117" i="5"/>
  <c r="K117" i="5"/>
  <c r="H117" i="5"/>
  <c r="L116" i="5"/>
  <c r="K116" i="5"/>
  <c r="H116" i="5"/>
  <c r="L115" i="5"/>
  <c r="K115" i="5"/>
  <c r="H115" i="5"/>
  <c r="L114" i="5"/>
  <c r="K114" i="5"/>
  <c r="H114" i="5"/>
  <c r="L113" i="5"/>
  <c r="K113" i="5"/>
  <c r="H113" i="5"/>
  <c r="L112" i="5"/>
  <c r="K112" i="5"/>
  <c r="H112" i="5"/>
  <c r="L111" i="5"/>
  <c r="K111" i="5"/>
  <c r="H111" i="5"/>
  <c r="L110" i="5"/>
  <c r="K110" i="5"/>
  <c r="H110" i="5"/>
  <c r="L109" i="5"/>
  <c r="K109" i="5"/>
  <c r="H109" i="5"/>
  <c r="L108" i="5"/>
  <c r="K108" i="5"/>
  <c r="H108" i="5"/>
  <c r="L107" i="5"/>
  <c r="K107" i="5"/>
  <c r="H107" i="5"/>
  <c r="L106" i="5"/>
  <c r="K106" i="5"/>
  <c r="H106" i="5"/>
  <c r="L105" i="5"/>
  <c r="K105" i="5"/>
  <c r="H105" i="5"/>
  <c r="L104" i="5"/>
  <c r="K104" i="5"/>
  <c r="H104" i="5"/>
  <c r="L103" i="5"/>
  <c r="K103" i="5"/>
  <c r="H103" i="5"/>
  <c r="L102" i="5"/>
  <c r="K102" i="5"/>
  <c r="H102" i="5"/>
  <c r="L101" i="5"/>
  <c r="K101" i="5"/>
  <c r="H101" i="5"/>
  <c r="L100" i="5"/>
  <c r="K100" i="5"/>
  <c r="H100" i="5"/>
  <c r="L99" i="5"/>
  <c r="K99" i="5"/>
  <c r="H99" i="5"/>
  <c r="L98" i="5"/>
  <c r="K98" i="5"/>
  <c r="H98" i="5"/>
  <c r="L97" i="5"/>
  <c r="K97" i="5"/>
  <c r="H97" i="5"/>
  <c r="L96" i="5"/>
  <c r="K96" i="5"/>
  <c r="H96" i="5"/>
  <c r="L95" i="5"/>
  <c r="K95" i="5"/>
  <c r="H95" i="5"/>
  <c r="L91" i="5"/>
  <c r="K91" i="5"/>
  <c r="H91" i="5"/>
  <c r="L90" i="5"/>
  <c r="K90" i="5"/>
  <c r="H90" i="5"/>
  <c r="L89" i="5"/>
  <c r="K89" i="5"/>
  <c r="H89" i="5"/>
  <c r="L88" i="5"/>
  <c r="K88" i="5"/>
  <c r="H88" i="5"/>
  <c r="L87" i="5"/>
  <c r="K87" i="5"/>
  <c r="H87" i="5"/>
  <c r="L86" i="5"/>
  <c r="K86" i="5"/>
  <c r="H86" i="5"/>
  <c r="L85" i="5"/>
  <c r="K85" i="5"/>
  <c r="H85" i="5"/>
  <c r="L84" i="5"/>
  <c r="K84" i="5"/>
  <c r="H84" i="5"/>
  <c r="L83" i="5"/>
  <c r="K83" i="5"/>
  <c r="H83" i="5"/>
  <c r="L82" i="5"/>
  <c r="K82" i="5"/>
  <c r="H82" i="5"/>
  <c r="L81" i="5"/>
  <c r="K81" i="5"/>
  <c r="H81" i="5"/>
  <c r="L80" i="5"/>
  <c r="K80" i="5"/>
  <c r="H80" i="5"/>
  <c r="L79" i="5"/>
  <c r="K79" i="5"/>
  <c r="H79" i="5"/>
  <c r="L78" i="5"/>
  <c r="K78" i="5"/>
  <c r="H78" i="5"/>
  <c r="L77" i="5"/>
  <c r="K77" i="5"/>
  <c r="H77" i="5"/>
  <c r="L76" i="5"/>
  <c r="K76" i="5"/>
  <c r="H76" i="5"/>
  <c r="L75" i="5"/>
  <c r="K75" i="5"/>
  <c r="H75" i="5"/>
  <c r="L74" i="5"/>
  <c r="K74" i="5"/>
  <c r="H74" i="5"/>
  <c r="L73" i="5"/>
  <c r="K73" i="5"/>
  <c r="H73" i="5"/>
  <c r="L72" i="5"/>
  <c r="K72" i="5"/>
  <c r="H72" i="5"/>
  <c r="L71" i="5"/>
  <c r="K71" i="5"/>
  <c r="H71" i="5"/>
  <c r="L70" i="5"/>
  <c r="K70" i="5"/>
  <c r="H70" i="5"/>
  <c r="L69" i="5"/>
  <c r="K69" i="5"/>
  <c r="H69" i="5"/>
  <c r="L68" i="5"/>
  <c r="K68" i="5"/>
  <c r="H68" i="5"/>
  <c r="L67" i="5"/>
  <c r="K67" i="5"/>
  <c r="H67" i="5"/>
  <c r="L66" i="5"/>
  <c r="K66" i="5"/>
  <c r="H66" i="5"/>
  <c r="L65" i="5"/>
  <c r="K65" i="5"/>
  <c r="H65" i="5"/>
  <c r="L61" i="5"/>
  <c r="K61" i="5"/>
  <c r="H61" i="5"/>
  <c r="L60" i="5"/>
  <c r="K60" i="5"/>
  <c r="H60" i="5"/>
  <c r="L59" i="5"/>
  <c r="K59" i="5"/>
  <c r="H59" i="5"/>
  <c r="L58" i="5"/>
  <c r="K58" i="5"/>
  <c r="H58" i="5"/>
  <c r="L57" i="5"/>
  <c r="K57" i="5"/>
  <c r="H57" i="5"/>
  <c r="L56" i="5"/>
  <c r="K56" i="5"/>
  <c r="H56" i="5"/>
  <c r="L55" i="5"/>
  <c r="K55" i="5"/>
  <c r="H55" i="5"/>
  <c r="L54" i="5"/>
  <c r="K54" i="5"/>
  <c r="H54" i="5"/>
  <c r="L53" i="5"/>
  <c r="K53" i="5"/>
  <c r="H53" i="5"/>
  <c r="L52" i="5"/>
  <c r="K52" i="5"/>
  <c r="H52" i="5"/>
  <c r="L51" i="5"/>
  <c r="K51" i="5"/>
  <c r="H51" i="5"/>
  <c r="L50" i="5"/>
  <c r="K50" i="5"/>
  <c r="H50" i="5"/>
  <c r="L49" i="5"/>
  <c r="K49" i="5"/>
  <c r="H49" i="5"/>
  <c r="L48" i="5"/>
  <c r="K48" i="5"/>
  <c r="H48" i="5"/>
  <c r="L47" i="5"/>
  <c r="K47" i="5"/>
  <c r="H47" i="5"/>
  <c r="L46" i="5"/>
  <c r="K46" i="5"/>
  <c r="H46" i="5"/>
  <c r="L45" i="5"/>
  <c r="K45" i="5"/>
  <c r="H45" i="5"/>
  <c r="L44" i="5"/>
  <c r="K44" i="5"/>
  <c r="H44" i="5"/>
  <c r="L43" i="5"/>
  <c r="K43" i="5"/>
  <c r="H43" i="5"/>
  <c r="L42" i="5"/>
  <c r="K42" i="5"/>
  <c r="H42" i="5"/>
  <c r="L41" i="5"/>
  <c r="K41" i="5"/>
  <c r="H41" i="5"/>
  <c r="L40" i="5"/>
  <c r="K40" i="5"/>
  <c r="H40" i="5"/>
  <c r="L39" i="5"/>
  <c r="K39" i="5"/>
  <c r="H39" i="5"/>
  <c r="L38" i="5"/>
  <c r="K38" i="5"/>
  <c r="H38" i="5"/>
  <c r="L37" i="5"/>
  <c r="K37" i="5"/>
  <c r="H37" i="5"/>
  <c r="L36" i="5"/>
  <c r="K36" i="5"/>
  <c r="H36" i="5"/>
  <c r="L35" i="5"/>
  <c r="K35" i="5"/>
  <c r="H35" i="5"/>
  <c r="L31" i="5"/>
  <c r="K31" i="5"/>
  <c r="H31" i="5"/>
  <c r="L30" i="5"/>
  <c r="K30" i="5"/>
  <c r="H30" i="5"/>
  <c r="L29" i="5"/>
  <c r="K29" i="5"/>
  <c r="H29" i="5"/>
  <c r="L28" i="5"/>
  <c r="K28" i="5"/>
  <c r="H28" i="5"/>
  <c r="L27" i="5"/>
  <c r="K27" i="5"/>
  <c r="H27" i="5"/>
  <c r="L26" i="5"/>
  <c r="K26" i="5"/>
  <c r="H26" i="5"/>
  <c r="L25" i="5"/>
  <c r="K25" i="5"/>
  <c r="H25" i="5"/>
  <c r="L24" i="5"/>
  <c r="K24" i="5"/>
  <c r="H24" i="5"/>
  <c r="L23" i="5"/>
  <c r="K23" i="5"/>
  <c r="H23" i="5"/>
  <c r="L22" i="5"/>
  <c r="K22" i="5"/>
  <c r="H22" i="5"/>
  <c r="L21" i="5"/>
  <c r="K21" i="5"/>
  <c r="H21" i="5"/>
  <c r="L20" i="5"/>
  <c r="K20" i="5"/>
  <c r="H20" i="5"/>
  <c r="L19" i="5"/>
  <c r="K19" i="5"/>
  <c r="H19" i="5"/>
  <c r="L18" i="5"/>
  <c r="K18" i="5"/>
  <c r="H18" i="5"/>
  <c r="L17" i="5"/>
  <c r="K17" i="5"/>
  <c r="H17" i="5"/>
  <c r="L16" i="5"/>
  <c r="K16" i="5"/>
  <c r="H16" i="5"/>
  <c r="L15" i="5"/>
  <c r="K15" i="5"/>
  <c r="H15" i="5"/>
  <c r="L14" i="5"/>
  <c r="K14" i="5"/>
  <c r="H14" i="5"/>
  <c r="L13" i="5"/>
  <c r="K13" i="5"/>
  <c r="H13" i="5"/>
  <c r="L12" i="5"/>
  <c r="K12" i="5"/>
  <c r="H12" i="5"/>
  <c r="L11" i="5"/>
  <c r="K11" i="5"/>
  <c r="H11" i="5"/>
  <c r="L10" i="5"/>
  <c r="K10" i="5"/>
  <c r="H10" i="5"/>
  <c r="L9" i="5"/>
  <c r="K9" i="5"/>
  <c r="H9" i="5"/>
  <c r="L8" i="5"/>
  <c r="K8" i="5"/>
  <c r="H8" i="5"/>
  <c r="L7" i="5"/>
  <c r="K7" i="5"/>
  <c r="H7" i="5"/>
  <c r="L6" i="5"/>
  <c r="K6" i="5"/>
  <c r="H6" i="5"/>
  <c r="L5" i="5"/>
  <c r="K5" i="5"/>
  <c r="H5" i="5"/>
  <c r="L121" i="4"/>
  <c r="K121" i="4"/>
  <c r="H121" i="4"/>
  <c r="L120" i="4"/>
  <c r="K120" i="4"/>
  <c r="H120" i="4"/>
  <c r="L119" i="4"/>
  <c r="K119" i="4"/>
  <c r="H119" i="4"/>
  <c r="L118" i="4"/>
  <c r="K118" i="4"/>
  <c r="H118" i="4"/>
  <c r="L117" i="4"/>
  <c r="K117" i="4"/>
  <c r="H117" i="4"/>
  <c r="L116" i="4"/>
  <c r="K116" i="4"/>
  <c r="H116" i="4"/>
  <c r="L115" i="4"/>
  <c r="K115" i="4"/>
  <c r="H115" i="4"/>
  <c r="L114" i="4"/>
  <c r="K114" i="4"/>
  <c r="H114" i="4"/>
  <c r="L113" i="4"/>
  <c r="K113" i="4"/>
  <c r="H113" i="4"/>
  <c r="L112" i="4"/>
  <c r="K112" i="4"/>
  <c r="H112" i="4"/>
  <c r="L111" i="4"/>
  <c r="K111" i="4"/>
  <c r="H111" i="4"/>
  <c r="L110" i="4"/>
  <c r="K110" i="4"/>
  <c r="H110" i="4"/>
  <c r="L109" i="4"/>
  <c r="K109" i="4"/>
  <c r="H109" i="4"/>
  <c r="L108" i="4"/>
  <c r="K108" i="4"/>
  <c r="H108" i="4"/>
  <c r="L107" i="4"/>
  <c r="K107" i="4"/>
  <c r="H107" i="4"/>
  <c r="L106" i="4"/>
  <c r="K106" i="4"/>
  <c r="H106" i="4"/>
  <c r="L105" i="4"/>
  <c r="K105" i="4"/>
  <c r="H105" i="4"/>
  <c r="L104" i="4"/>
  <c r="K104" i="4"/>
  <c r="H104" i="4"/>
  <c r="L103" i="4"/>
  <c r="K103" i="4"/>
  <c r="H103" i="4"/>
  <c r="L102" i="4"/>
  <c r="K102" i="4"/>
  <c r="H102" i="4"/>
  <c r="L101" i="4"/>
  <c r="K101" i="4"/>
  <c r="H101" i="4"/>
  <c r="L100" i="4"/>
  <c r="K100" i="4"/>
  <c r="H100" i="4"/>
  <c r="L99" i="4"/>
  <c r="K99" i="4"/>
  <c r="H99" i="4"/>
  <c r="L98" i="4"/>
  <c r="K98" i="4"/>
  <c r="H98" i="4"/>
  <c r="L97" i="4"/>
  <c r="K97" i="4"/>
  <c r="H97" i="4"/>
  <c r="L96" i="4"/>
  <c r="K96" i="4"/>
  <c r="H96" i="4"/>
  <c r="L95" i="4"/>
  <c r="K95" i="4"/>
  <c r="H95" i="4"/>
  <c r="L91" i="4"/>
  <c r="K91" i="4"/>
  <c r="H91" i="4"/>
  <c r="L90" i="4"/>
  <c r="K90" i="4"/>
  <c r="H90" i="4"/>
  <c r="L89" i="4"/>
  <c r="K89" i="4"/>
  <c r="H89" i="4"/>
  <c r="L88" i="4"/>
  <c r="K88" i="4"/>
  <c r="H88" i="4"/>
  <c r="L87" i="4"/>
  <c r="K87" i="4"/>
  <c r="H87" i="4"/>
  <c r="L86" i="4"/>
  <c r="K86" i="4"/>
  <c r="H86" i="4"/>
  <c r="L85" i="4"/>
  <c r="K85" i="4"/>
  <c r="H85" i="4"/>
  <c r="L84" i="4"/>
  <c r="K84" i="4"/>
  <c r="H84" i="4"/>
  <c r="L83" i="4"/>
  <c r="K83" i="4"/>
  <c r="H83" i="4"/>
  <c r="L82" i="4"/>
  <c r="K82" i="4"/>
  <c r="H82" i="4"/>
  <c r="L81" i="4"/>
  <c r="K81" i="4"/>
  <c r="H81" i="4"/>
  <c r="L80" i="4"/>
  <c r="K80" i="4"/>
  <c r="H80" i="4"/>
  <c r="L79" i="4"/>
  <c r="K79" i="4"/>
  <c r="H79" i="4"/>
  <c r="L78" i="4"/>
  <c r="K78" i="4"/>
  <c r="H78" i="4"/>
  <c r="L77" i="4"/>
  <c r="K77" i="4"/>
  <c r="H77" i="4"/>
  <c r="L76" i="4"/>
  <c r="K76" i="4"/>
  <c r="H76" i="4"/>
  <c r="L75" i="4"/>
  <c r="K75" i="4"/>
  <c r="H75" i="4"/>
  <c r="L74" i="4"/>
  <c r="K74" i="4"/>
  <c r="H74" i="4"/>
  <c r="L73" i="4"/>
  <c r="K73" i="4"/>
  <c r="H73" i="4"/>
  <c r="L72" i="4"/>
  <c r="K72" i="4"/>
  <c r="H72" i="4"/>
  <c r="L71" i="4"/>
  <c r="K71" i="4"/>
  <c r="H71" i="4"/>
  <c r="L70" i="4"/>
  <c r="K70" i="4"/>
  <c r="H70" i="4"/>
  <c r="L69" i="4"/>
  <c r="K69" i="4"/>
  <c r="H69" i="4"/>
  <c r="L68" i="4"/>
  <c r="K68" i="4"/>
  <c r="H68" i="4"/>
  <c r="L67" i="4"/>
  <c r="K67" i="4"/>
  <c r="H67" i="4"/>
  <c r="L66" i="4"/>
  <c r="K66" i="4"/>
  <c r="H66" i="4"/>
  <c r="L65" i="4"/>
  <c r="K65" i="4"/>
  <c r="H65" i="4"/>
  <c r="L61" i="4"/>
  <c r="K61" i="4"/>
  <c r="H61" i="4"/>
  <c r="L60" i="4"/>
  <c r="K60" i="4"/>
  <c r="H60" i="4"/>
  <c r="L59" i="4"/>
  <c r="K59" i="4"/>
  <c r="H59" i="4"/>
  <c r="L58" i="4"/>
  <c r="K58" i="4"/>
  <c r="H58" i="4"/>
  <c r="L57" i="4"/>
  <c r="K57" i="4"/>
  <c r="H57" i="4"/>
  <c r="L56" i="4"/>
  <c r="K56" i="4"/>
  <c r="H56" i="4"/>
  <c r="L55" i="4"/>
  <c r="K55" i="4"/>
  <c r="H55" i="4"/>
  <c r="L54" i="4"/>
  <c r="K54" i="4"/>
  <c r="H54" i="4"/>
  <c r="L53" i="4"/>
  <c r="K53" i="4"/>
  <c r="H53" i="4"/>
  <c r="L52" i="4"/>
  <c r="K52" i="4"/>
  <c r="H52" i="4"/>
  <c r="L51" i="4"/>
  <c r="K51" i="4"/>
  <c r="H51" i="4"/>
  <c r="L50" i="4"/>
  <c r="K50" i="4"/>
  <c r="H50" i="4"/>
  <c r="L49" i="4"/>
  <c r="K49" i="4"/>
  <c r="H49" i="4"/>
  <c r="L48" i="4"/>
  <c r="K48" i="4"/>
  <c r="H48" i="4"/>
  <c r="L47" i="4"/>
  <c r="K47" i="4"/>
  <c r="H47" i="4"/>
  <c r="L46" i="4"/>
  <c r="K46" i="4"/>
  <c r="H46" i="4"/>
  <c r="L45" i="4"/>
  <c r="K45" i="4"/>
  <c r="H45" i="4"/>
  <c r="L44" i="4"/>
  <c r="K44" i="4"/>
  <c r="H44" i="4"/>
  <c r="L43" i="4"/>
  <c r="K43" i="4"/>
  <c r="H43" i="4"/>
  <c r="L42" i="4"/>
  <c r="K42" i="4"/>
  <c r="H42" i="4"/>
  <c r="L41" i="4"/>
  <c r="K41" i="4"/>
  <c r="H41" i="4"/>
  <c r="L40" i="4"/>
  <c r="K40" i="4"/>
  <c r="H40" i="4"/>
  <c r="L39" i="4"/>
  <c r="K39" i="4"/>
  <c r="H39" i="4"/>
  <c r="L38" i="4"/>
  <c r="K38" i="4"/>
  <c r="H38" i="4"/>
  <c r="L37" i="4"/>
  <c r="K37" i="4"/>
  <c r="H37" i="4"/>
  <c r="L36" i="4"/>
  <c r="K36" i="4"/>
  <c r="H36" i="4"/>
  <c r="L35" i="4"/>
  <c r="K35" i="4"/>
  <c r="H35" i="4"/>
  <c r="L31" i="4"/>
  <c r="K31" i="4"/>
  <c r="H31" i="4"/>
  <c r="L30" i="4"/>
  <c r="K30" i="4"/>
  <c r="H30" i="4"/>
  <c r="L29" i="4"/>
  <c r="K29" i="4"/>
  <c r="H29" i="4"/>
  <c r="L28" i="4"/>
  <c r="K28" i="4"/>
  <c r="H28" i="4"/>
  <c r="L27" i="4"/>
  <c r="K27" i="4"/>
  <c r="H27" i="4"/>
  <c r="L26" i="4"/>
  <c r="K26" i="4"/>
  <c r="H26" i="4"/>
  <c r="L25" i="4"/>
  <c r="K25" i="4"/>
  <c r="H25" i="4"/>
  <c r="L24" i="4"/>
  <c r="K24" i="4"/>
  <c r="H24" i="4"/>
  <c r="L23" i="4"/>
  <c r="K23" i="4"/>
  <c r="H23" i="4"/>
  <c r="L22" i="4"/>
  <c r="K22" i="4"/>
  <c r="H22" i="4"/>
  <c r="L21" i="4"/>
  <c r="K21" i="4"/>
  <c r="H21" i="4"/>
  <c r="L20" i="4"/>
  <c r="K20" i="4"/>
  <c r="H20" i="4"/>
  <c r="L19" i="4"/>
  <c r="K19" i="4"/>
  <c r="H19" i="4"/>
  <c r="L18" i="4"/>
  <c r="K18" i="4"/>
  <c r="H18" i="4"/>
  <c r="L17" i="4"/>
  <c r="K17" i="4"/>
  <c r="H17" i="4"/>
  <c r="L16" i="4"/>
  <c r="K16" i="4"/>
  <c r="H16" i="4"/>
  <c r="L15" i="4"/>
  <c r="K15" i="4"/>
  <c r="H15" i="4"/>
  <c r="L14" i="4"/>
  <c r="K14" i="4"/>
  <c r="H14" i="4"/>
  <c r="L13" i="4"/>
  <c r="K13" i="4"/>
  <c r="H13" i="4"/>
  <c r="L12" i="4"/>
  <c r="K12" i="4"/>
  <c r="H12" i="4"/>
  <c r="L11" i="4"/>
  <c r="K11" i="4"/>
  <c r="H11" i="4"/>
  <c r="L10" i="4"/>
  <c r="K10" i="4"/>
  <c r="H10" i="4"/>
  <c r="L9" i="4"/>
  <c r="K9" i="4"/>
  <c r="H9" i="4"/>
  <c r="L8" i="4"/>
  <c r="K8" i="4"/>
  <c r="H8" i="4"/>
  <c r="L7" i="4"/>
  <c r="K7" i="4"/>
  <c r="H7" i="4"/>
  <c r="L6" i="4"/>
  <c r="K6" i="4"/>
  <c r="H6" i="4"/>
  <c r="L5" i="4"/>
  <c r="K5" i="4"/>
  <c r="H5" i="4"/>
  <c r="L79" i="3"/>
  <c r="J79" i="3"/>
  <c r="I79" i="3"/>
  <c r="F79" i="3"/>
  <c r="M79" i="3" s="1"/>
  <c r="L78" i="3"/>
  <c r="J78" i="3"/>
  <c r="I78" i="3"/>
  <c r="F78" i="3"/>
  <c r="M78" i="3" s="1"/>
  <c r="L77" i="3"/>
  <c r="J77" i="3"/>
  <c r="I77" i="3"/>
  <c r="F77" i="3"/>
  <c r="L76" i="3"/>
  <c r="J76" i="3"/>
  <c r="I76" i="3"/>
  <c r="F76" i="3"/>
  <c r="M76" i="3" s="1"/>
  <c r="L75" i="3"/>
  <c r="J75" i="3"/>
  <c r="I75" i="3"/>
  <c r="F75" i="3"/>
  <c r="M75" i="3" s="1"/>
  <c r="M74" i="3"/>
  <c r="L74" i="3"/>
  <c r="J74" i="3"/>
  <c r="I74" i="3"/>
  <c r="F74" i="3"/>
  <c r="L73" i="3"/>
  <c r="J73" i="3"/>
  <c r="I73" i="3"/>
  <c r="F73" i="3"/>
  <c r="M73" i="3" s="1"/>
  <c r="L72" i="3"/>
  <c r="J72" i="3"/>
  <c r="I72" i="3"/>
  <c r="F72" i="3"/>
  <c r="M72" i="3" s="1"/>
  <c r="M71" i="3"/>
  <c r="L71" i="3"/>
  <c r="J71" i="3"/>
  <c r="I71" i="3"/>
  <c r="F71" i="3"/>
  <c r="L70" i="3"/>
  <c r="J70" i="3"/>
  <c r="I70" i="3"/>
  <c r="F70" i="3"/>
  <c r="M70" i="3" s="1"/>
  <c r="L69" i="3"/>
  <c r="J69" i="3"/>
  <c r="I69" i="3"/>
  <c r="F69" i="3"/>
  <c r="M69" i="3" s="1"/>
  <c r="M68" i="3"/>
  <c r="L68" i="3"/>
  <c r="J68" i="3"/>
  <c r="I68" i="3"/>
  <c r="F68" i="3"/>
  <c r="L67" i="3"/>
  <c r="J67" i="3"/>
  <c r="I67" i="3"/>
  <c r="F67" i="3"/>
  <c r="M67" i="3" s="1"/>
  <c r="L66" i="3"/>
  <c r="J66" i="3"/>
  <c r="I66" i="3"/>
  <c r="F66" i="3"/>
  <c r="M66" i="3" s="1"/>
  <c r="M65" i="3"/>
  <c r="L65" i="3"/>
  <c r="J65" i="3"/>
  <c r="I65" i="3"/>
  <c r="F65" i="3"/>
  <c r="L64" i="3"/>
  <c r="J64" i="3"/>
  <c r="I64" i="3"/>
  <c r="F64" i="3"/>
  <c r="M64" i="3" s="1"/>
  <c r="M60" i="3"/>
  <c r="L60" i="3"/>
  <c r="J60" i="3"/>
  <c r="I60" i="3"/>
  <c r="F60" i="3"/>
  <c r="L59" i="3"/>
  <c r="J59" i="3"/>
  <c r="I59" i="3"/>
  <c r="F59" i="3"/>
  <c r="M59" i="3" s="1"/>
  <c r="L58" i="3"/>
  <c r="J58" i="3"/>
  <c r="I58" i="3"/>
  <c r="F58" i="3"/>
  <c r="M58" i="3" s="1"/>
  <c r="L57" i="3"/>
  <c r="J57" i="3"/>
  <c r="I57" i="3"/>
  <c r="F57" i="3"/>
  <c r="L56" i="3"/>
  <c r="J56" i="3"/>
  <c r="I56" i="3"/>
  <c r="F56" i="3"/>
  <c r="M56" i="3" s="1"/>
  <c r="L55" i="3"/>
  <c r="J55" i="3"/>
  <c r="I55" i="3"/>
  <c r="F55" i="3"/>
  <c r="M55" i="3" s="1"/>
  <c r="M54" i="3"/>
  <c r="L54" i="3"/>
  <c r="J54" i="3"/>
  <c r="I54" i="3"/>
  <c r="F54" i="3"/>
  <c r="L53" i="3"/>
  <c r="J53" i="3"/>
  <c r="I53" i="3"/>
  <c r="F53" i="3"/>
  <c r="M53" i="3" s="1"/>
  <c r="L52" i="3"/>
  <c r="J52" i="3"/>
  <c r="I52" i="3"/>
  <c r="F52" i="3"/>
  <c r="M52" i="3" s="1"/>
  <c r="M51" i="3"/>
  <c r="L51" i="3"/>
  <c r="J51" i="3"/>
  <c r="I51" i="3"/>
  <c r="F51" i="3"/>
  <c r="L50" i="3"/>
  <c r="J50" i="3"/>
  <c r="I50" i="3"/>
  <c r="F50" i="3"/>
  <c r="M50" i="3" s="1"/>
  <c r="L49" i="3"/>
  <c r="J49" i="3"/>
  <c r="I49" i="3"/>
  <c r="F49" i="3"/>
  <c r="M49" i="3" s="1"/>
  <c r="L48" i="3"/>
  <c r="J48" i="3"/>
  <c r="I48" i="3"/>
  <c r="F48" i="3"/>
  <c r="L47" i="3"/>
  <c r="J47" i="3"/>
  <c r="I47" i="3"/>
  <c r="F47" i="3"/>
  <c r="M47" i="3" s="1"/>
  <c r="M46" i="3"/>
  <c r="L46" i="3"/>
  <c r="J46" i="3"/>
  <c r="I46" i="3"/>
  <c r="F46" i="3"/>
  <c r="L45" i="3"/>
  <c r="J45" i="3"/>
  <c r="I45" i="3"/>
  <c r="F45" i="3"/>
  <c r="M45" i="3" s="1"/>
  <c r="L41" i="3"/>
  <c r="J41" i="3"/>
  <c r="I41" i="3"/>
  <c r="F41" i="3"/>
  <c r="M41" i="3" s="1"/>
  <c r="M40" i="3"/>
  <c r="L40" i="3"/>
  <c r="J40" i="3"/>
  <c r="I40" i="3"/>
  <c r="F40" i="3"/>
  <c r="L39" i="3"/>
  <c r="J39" i="3"/>
  <c r="I39" i="3"/>
  <c r="F39" i="3"/>
  <c r="M39" i="3" s="1"/>
  <c r="L38" i="3"/>
  <c r="J38" i="3"/>
  <c r="I38" i="3"/>
  <c r="F38" i="3"/>
  <c r="M38" i="3" s="1"/>
  <c r="M37" i="3"/>
  <c r="L37" i="3"/>
  <c r="J37" i="3"/>
  <c r="I37" i="3"/>
  <c r="F37" i="3"/>
  <c r="L36" i="3"/>
  <c r="J36" i="3"/>
  <c r="I36" i="3"/>
  <c r="F36" i="3"/>
  <c r="M36" i="3" s="1"/>
  <c r="L35" i="3"/>
  <c r="J35" i="3"/>
  <c r="I35" i="3"/>
  <c r="F35" i="3"/>
  <c r="M35" i="3" s="1"/>
  <c r="M34" i="3"/>
  <c r="L34" i="3"/>
  <c r="J34" i="3"/>
  <c r="I34" i="3"/>
  <c r="F34" i="3"/>
  <c r="L33" i="3"/>
  <c r="J33" i="3"/>
  <c r="I33" i="3"/>
  <c r="F33" i="3"/>
  <c r="M33" i="3" s="1"/>
  <c r="L32" i="3"/>
  <c r="J32" i="3"/>
  <c r="I32" i="3"/>
  <c r="F32" i="3"/>
  <c r="M32" i="3" s="1"/>
  <c r="L31" i="3"/>
  <c r="J31" i="3"/>
  <c r="I31" i="3"/>
  <c r="F31" i="3"/>
  <c r="L30" i="3"/>
  <c r="J30" i="3"/>
  <c r="I30" i="3"/>
  <c r="F30" i="3"/>
  <c r="M30" i="3" s="1"/>
  <c r="L29" i="3"/>
  <c r="J29" i="3"/>
  <c r="I29" i="3"/>
  <c r="F29" i="3"/>
  <c r="L28" i="3"/>
  <c r="J28" i="3"/>
  <c r="I28" i="3"/>
  <c r="F28" i="3"/>
  <c r="M28" i="3" s="1"/>
  <c r="L27" i="3"/>
  <c r="J27" i="3"/>
  <c r="I27" i="3"/>
  <c r="F27" i="3"/>
  <c r="M27" i="3" s="1"/>
  <c r="M26" i="3"/>
  <c r="L26" i="3"/>
  <c r="J26" i="3"/>
  <c r="I26" i="3"/>
  <c r="F26" i="3"/>
  <c r="J22" i="3"/>
  <c r="I22" i="3"/>
  <c r="F22" i="3"/>
  <c r="J21" i="3"/>
  <c r="I21" i="3"/>
  <c r="F21" i="3"/>
  <c r="J20" i="3"/>
  <c r="I20" i="3"/>
  <c r="F20" i="3"/>
  <c r="M77" i="3" s="1"/>
  <c r="J19" i="3"/>
  <c r="I19" i="3"/>
  <c r="F19" i="3"/>
  <c r="M57" i="3" s="1"/>
  <c r="J18" i="3"/>
  <c r="I18" i="3"/>
  <c r="F18" i="3"/>
  <c r="J17" i="3"/>
  <c r="I17" i="3"/>
  <c r="F17" i="3"/>
  <c r="J16" i="3"/>
  <c r="I16" i="3"/>
  <c r="F16" i="3"/>
  <c r="J15" i="3"/>
  <c r="I15" i="3"/>
  <c r="F15" i="3"/>
  <c r="J14" i="3"/>
  <c r="I14" i="3"/>
  <c r="F14" i="3"/>
  <c r="J13" i="3"/>
  <c r="I13" i="3"/>
  <c r="F13" i="3"/>
  <c r="J12" i="3"/>
  <c r="I12" i="3"/>
  <c r="F12" i="3"/>
  <c r="M31" i="3" s="1"/>
  <c r="J11" i="3"/>
  <c r="I11" i="3"/>
  <c r="F11" i="3"/>
  <c r="J10" i="3"/>
  <c r="I10" i="3"/>
  <c r="F10" i="3"/>
  <c r="M48" i="3" s="1"/>
  <c r="J9" i="3"/>
  <c r="I9" i="3"/>
  <c r="F9" i="3"/>
  <c r="J8" i="3"/>
  <c r="I8" i="3"/>
  <c r="F8" i="3"/>
  <c r="J7" i="3"/>
  <c r="I7" i="3"/>
  <c r="F7" i="3"/>
  <c r="L60" i="2"/>
  <c r="J60" i="2"/>
  <c r="I60" i="2"/>
  <c r="F60" i="2"/>
  <c r="M60" i="2" s="1"/>
  <c r="L59" i="2"/>
  <c r="J59" i="2"/>
  <c r="I59" i="2"/>
  <c r="F59" i="2"/>
  <c r="L58" i="2"/>
  <c r="J58" i="2"/>
  <c r="I58" i="2"/>
  <c r="F58" i="2"/>
  <c r="M58" i="2" s="1"/>
  <c r="L57" i="2"/>
  <c r="J57" i="2"/>
  <c r="I57" i="2"/>
  <c r="F57" i="2"/>
  <c r="M57" i="2" s="1"/>
  <c r="M56" i="2"/>
  <c r="L56" i="2"/>
  <c r="J56" i="2"/>
  <c r="I56" i="2"/>
  <c r="F56" i="2"/>
  <c r="L55" i="2"/>
  <c r="J55" i="2"/>
  <c r="I55" i="2"/>
  <c r="F55" i="2"/>
  <c r="M55" i="2" s="1"/>
  <c r="L54" i="2"/>
  <c r="J54" i="2"/>
  <c r="I54" i="2"/>
  <c r="F54" i="2"/>
  <c r="M54" i="2" s="1"/>
  <c r="M53" i="2"/>
  <c r="L53" i="2"/>
  <c r="J53" i="2"/>
  <c r="I53" i="2"/>
  <c r="F53" i="2"/>
  <c r="L52" i="2"/>
  <c r="J52" i="2"/>
  <c r="I52" i="2"/>
  <c r="F52" i="2"/>
  <c r="M52" i="2" s="1"/>
  <c r="L51" i="2"/>
  <c r="J51" i="2"/>
  <c r="I51" i="2"/>
  <c r="F51" i="2"/>
  <c r="M51" i="2" s="1"/>
  <c r="L50" i="2"/>
  <c r="J50" i="2"/>
  <c r="I50" i="2"/>
  <c r="F50" i="2"/>
  <c r="M50" i="2" s="1"/>
  <c r="L49" i="2"/>
  <c r="J49" i="2"/>
  <c r="I49" i="2"/>
  <c r="F49" i="2"/>
  <c r="M49" i="2" s="1"/>
  <c r="M48" i="2"/>
  <c r="L48" i="2"/>
  <c r="J48" i="2"/>
  <c r="I48" i="2"/>
  <c r="F48" i="2"/>
  <c r="L47" i="2"/>
  <c r="J47" i="2"/>
  <c r="I47" i="2"/>
  <c r="F47" i="2"/>
  <c r="M47" i="2" s="1"/>
  <c r="L46" i="2"/>
  <c r="J46" i="2"/>
  <c r="I46" i="2"/>
  <c r="F46" i="2"/>
  <c r="M46" i="2" s="1"/>
  <c r="L45" i="2"/>
  <c r="J45" i="2"/>
  <c r="I45" i="2"/>
  <c r="F45" i="2"/>
  <c r="X41" i="2"/>
  <c r="V41" i="2"/>
  <c r="U41" i="2"/>
  <c r="R41" i="2"/>
  <c r="L41" i="2"/>
  <c r="J41" i="2"/>
  <c r="I41" i="2"/>
  <c r="F41" i="2"/>
  <c r="M41" i="2" s="1"/>
  <c r="X40" i="2"/>
  <c r="V40" i="2"/>
  <c r="U40" i="2"/>
  <c r="R40" i="2"/>
  <c r="L40" i="2"/>
  <c r="J40" i="2"/>
  <c r="I40" i="2"/>
  <c r="F40" i="2"/>
  <c r="M40" i="2" s="1"/>
  <c r="X39" i="2"/>
  <c r="V39" i="2"/>
  <c r="U39" i="2"/>
  <c r="R39" i="2"/>
  <c r="Y39" i="2" s="1"/>
  <c r="M39" i="2"/>
  <c r="L39" i="2"/>
  <c r="J39" i="2"/>
  <c r="I39" i="2"/>
  <c r="F39" i="2"/>
  <c r="X38" i="2"/>
  <c r="V38" i="2"/>
  <c r="U38" i="2"/>
  <c r="R38" i="2"/>
  <c r="Y38" i="2" s="1"/>
  <c r="L38" i="2"/>
  <c r="J38" i="2"/>
  <c r="I38" i="2"/>
  <c r="F38" i="2"/>
  <c r="M38" i="2" s="1"/>
  <c r="X37" i="2"/>
  <c r="V37" i="2"/>
  <c r="U37" i="2"/>
  <c r="R37" i="2"/>
  <c r="Y37" i="2" s="1"/>
  <c r="L37" i="2"/>
  <c r="J37" i="2"/>
  <c r="I37" i="2"/>
  <c r="F37" i="2"/>
  <c r="M37" i="2" s="1"/>
  <c r="X36" i="2"/>
  <c r="V36" i="2"/>
  <c r="U36" i="2"/>
  <c r="R36" i="2"/>
  <c r="L36" i="2"/>
  <c r="J36" i="2"/>
  <c r="I36" i="2"/>
  <c r="F36" i="2"/>
  <c r="X35" i="2"/>
  <c r="V35" i="2"/>
  <c r="U35" i="2"/>
  <c r="R35" i="2"/>
  <c r="Y35" i="2" s="1"/>
  <c r="M35" i="2"/>
  <c r="L35" i="2"/>
  <c r="J35" i="2"/>
  <c r="I35" i="2"/>
  <c r="F35" i="2"/>
  <c r="X34" i="2"/>
  <c r="V34" i="2"/>
  <c r="U34" i="2"/>
  <c r="R34" i="2"/>
  <c r="L34" i="2"/>
  <c r="J34" i="2"/>
  <c r="I34" i="2"/>
  <c r="F34" i="2"/>
  <c r="M34" i="2" s="1"/>
  <c r="Y33" i="2"/>
  <c r="X33" i="2"/>
  <c r="V33" i="2"/>
  <c r="U33" i="2"/>
  <c r="R33" i="2"/>
  <c r="L33" i="2"/>
  <c r="J33" i="2"/>
  <c r="I33" i="2"/>
  <c r="F33" i="2"/>
  <c r="M33" i="2" s="1"/>
  <c r="X32" i="2"/>
  <c r="V32" i="2"/>
  <c r="U32" i="2"/>
  <c r="R32" i="2"/>
  <c r="Y32" i="2" s="1"/>
  <c r="M32" i="2"/>
  <c r="L32" i="2"/>
  <c r="J32" i="2"/>
  <c r="I32" i="2"/>
  <c r="F32" i="2"/>
  <c r="X31" i="2"/>
  <c r="V31" i="2"/>
  <c r="U31" i="2"/>
  <c r="R31" i="2"/>
  <c r="Y31" i="2" s="1"/>
  <c r="L31" i="2"/>
  <c r="J31" i="2"/>
  <c r="I31" i="2"/>
  <c r="F31" i="2"/>
  <c r="M31" i="2" s="1"/>
  <c r="X30" i="2"/>
  <c r="V30" i="2"/>
  <c r="U30" i="2"/>
  <c r="R30" i="2"/>
  <c r="Y30" i="2" s="1"/>
  <c r="L30" i="2"/>
  <c r="J30" i="2"/>
  <c r="I30" i="2"/>
  <c r="F30" i="2"/>
  <c r="M30" i="2" s="1"/>
  <c r="Y29" i="2"/>
  <c r="X29" i="2"/>
  <c r="V29" i="2"/>
  <c r="U29" i="2"/>
  <c r="R29" i="2"/>
  <c r="L29" i="2"/>
  <c r="J29" i="2"/>
  <c r="I29" i="2"/>
  <c r="F29" i="2"/>
  <c r="X28" i="2"/>
  <c r="V28" i="2"/>
  <c r="U28" i="2"/>
  <c r="R28" i="2"/>
  <c r="Y28" i="2" s="1"/>
  <c r="M28" i="2"/>
  <c r="L28" i="2"/>
  <c r="J28" i="2"/>
  <c r="I28" i="2"/>
  <c r="F28" i="2"/>
  <c r="X27" i="2"/>
  <c r="V27" i="2"/>
  <c r="U27" i="2"/>
  <c r="R27" i="2"/>
  <c r="L27" i="2"/>
  <c r="J27" i="2"/>
  <c r="I27" i="2"/>
  <c r="F27" i="2"/>
  <c r="M27" i="2" s="1"/>
  <c r="X26" i="2"/>
  <c r="V26" i="2"/>
  <c r="U26" i="2"/>
  <c r="R26" i="2"/>
  <c r="L26" i="2"/>
  <c r="J26" i="2"/>
  <c r="I26" i="2"/>
  <c r="F26" i="2"/>
  <c r="M26" i="2" s="1"/>
  <c r="J22" i="2"/>
  <c r="I22" i="2"/>
  <c r="F22" i="2"/>
  <c r="Y41" i="2" s="1"/>
  <c r="J21" i="2"/>
  <c r="I21" i="2"/>
  <c r="F21" i="2"/>
  <c r="Y40" i="2" s="1"/>
  <c r="J20" i="2"/>
  <c r="I20" i="2"/>
  <c r="F20" i="2"/>
  <c r="J19" i="2"/>
  <c r="I19" i="2"/>
  <c r="F19" i="2"/>
  <c r="J18" i="2"/>
  <c r="I18" i="2"/>
  <c r="F18" i="2"/>
  <c r="J17" i="2"/>
  <c r="I17" i="2"/>
  <c r="F17" i="2"/>
  <c r="M36" i="2" s="1"/>
  <c r="J16" i="2"/>
  <c r="I16" i="2"/>
  <c r="F16" i="2"/>
  <c r="J15" i="2"/>
  <c r="I15" i="2"/>
  <c r="F15" i="2"/>
  <c r="Y34" i="2" s="1"/>
  <c r="J14" i="2"/>
  <c r="I14" i="2"/>
  <c r="F14" i="2"/>
  <c r="J13" i="2"/>
  <c r="I13" i="2"/>
  <c r="F13" i="2"/>
  <c r="J12" i="2"/>
  <c r="I12" i="2"/>
  <c r="F12" i="2"/>
  <c r="J11" i="2"/>
  <c r="I11" i="2"/>
  <c r="F11" i="2"/>
  <c r="J10" i="2"/>
  <c r="I10" i="2"/>
  <c r="F10" i="2"/>
  <c r="M29" i="2" s="1"/>
  <c r="J9" i="2"/>
  <c r="I9" i="2"/>
  <c r="F9" i="2"/>
  <c r="J8" i="2"/>
  <c r="I8" i="2"/>
  <c r="F8" i="2"/>
  <c r="Y27" i="2" s="1"/>
  <c r="J7" i="2"/>
  <c r="I7" i="2"/>
  <c r="F7" i="2"/>
  <c r="Y26" i="2" s="1"/>
  <c r="M29" i="3" l="1"/>
  <c r="Y36" i="2"/>
  <c r="M45" i="2"/>
  <c r="M59" i="2"/>
</calcChain>
</file>

<file path=xl/sharedStrings.xml><?xml version="1.0" encoding="utf-8"?>
<sst xmlns="http://schemas.openxmlformats.org/spreadsheetml/2006/main" count="392" uniqueCount="109">
  <si>
    <t>*ALL CALCULATION POSTULATE URR OPTION OFF &amp; ENDF 7.1</t>
  </si>
  <si>
    <t>Serpent2.2.1 (set U235H) [pcc = 1]</t>
  </si>
  <si>
    <t>EFPD</t>
  </si>
  <si>
    <t>KEFF</t>
  </si>
  <si>
    <t>SIGMA</t>
  </si>
  <si>
    <t>SIGMA [pcm]</t>
  </si>
  <si>
    <t>BETA_EFF</t>
  </si>
  <si>
    <t>BETA_EFF [pcm]</t>
  </si>
  <si>
    <t>Serpent2.2.1 (set fissh) [pcc = 1]</t>
  </si>
  <si>
    <t>Reactivity Difference</t>
  </si>
  <si>
    <t>2-sigma Uncertainty</t>
  </si>
  <si>
    <t>Serpent2.2.1 (set U235H) [pcc = 2]</t>
  </si>
  <si>
    <t>OpenMC v0.15.3 (fission-q) [CELI]</t>
  </si>
  <si>
    <t>%runfile /home/toh8/OpenMC_Calculation/OPT05_DEPLETION_FP_REMOVAL/603_EXTRACT_Q_VALUE_FROM_CHAIN/extract_fission_q.py --wdir</t>
  </si>
  <si>
    <t>% ==================================================</t>
  </si>
  <si>
    <t>%  Serpent set fissh (generated from OpenMC chain)</t>
  </si>
  <si>
    <t>set U235H 193.4054</t>
  </si>
  <si>
    <t>set fissh</t>
  </si>
  <si>
    <t xml:space="preserve">  922320  184.584000   % U232</t>
  </si>
  <si>
    <t xml:space="preserve">  922330  191.040000   % U233</t>
  </si>
  <si>
    <t xml:space="preserve">  922340  191.840000   % U234</t>
  </si>
  <si>
    <t xml:space="preserve">  922350  193.405400   % U235</t>
  </si>
  <si>
    <t xml:space="preserve">  922360  194.490000   % U236</t>
  </si>
  <si>
    <t xml:space="preserve">  922370  187.821000   % U237</t>
  </si>
  <si>
    <t xml:space="preserve">  922380  197.786000   % U238</t>
  </si>
  <si>
    <t xml:space="preserve">  932350  190.695000   % Np235</t>
  </si>
  <si>
    <t xml:space="preserve">  932360  190.233500   % Np236</t>
  </si>
  <si>
    <t xml:space="preserve">  932370  196.370000   % Np237</t>
  </si>
  <si>
    <t xml:space="preserve">  932380  199.553000   % Np238</t>
  </si>
  <si>
    <t xml:space="preserve">  932390  189.819200   % Np239</t>
  </si>
  <si>
    <t xml:space="preserve">  942360  199.533600   % Pu236</t>
  </si>
  <si>
    <t xml:space="preserve">  942370  201.363900   % Pu237</t>
  </si>
  <si>
    <t xml:space="preserve">  942380  200.356800   % Pu238</t>
  </si>
  <si>
    <t xml:space="preserve">  942390  198.902000   % Pu239</t>
  </si>
  <si>
    <t xml:space="preserve">  942400  199.470000   % Pu240</t>
  </si>
  <si>
    <t xml:space="preserve">  942410  201.980100   % Pu241</t>
  </si>
  <si>
    <t xml:space="preserve">  942420  202.778000   % Pu242</t>
  </si>
  <si>
    <t xml:space="preserve">  942430  198.405600   % Pu243</t>
  </si>
  <si>
    <t xml:space="preserve">  942440  199.292800   % Pu244</t>
  </si>
  <si>
    <t xml:space="preserve">  952400  205.838100   % Am240</t>
  </si>
  <si>
    <t xml:space="preserve">  952410  201.960100   % Am241</t>
  </si>
  <si>
    <t xml:space="preserve">  952420  205.717800   % Am242</t>
  </si>
  <si>
    <t xml:space="preserve">  952421  205.716500   % Am242_m1</t>
  </si>
  <si>
    <t xml:space="preserve">  952430  203.620000   % Am243</t>
  </si>
  <si>
    <t xml:space="preserve">  952440  204.520700   % Am244</t>
  </si>
  <si>
    <t xml:space="preserve">  952441  204.520700   % Am244_m1</t>
  </si>
  <si>
    <t xml:space="preserve">  962400  209.960000   % Cm240</t>
  </si>
  <si>
    <t xml:space="preserve">  962410  209.474300   % Cm241</t>
  </si>
  <si>
    <t xml:space="preserve">  962420  203.461000   % Cm242</t>
  </si>
  <si>
    <t xml:space="preserve">  962430  204.024000   % Cm243</t>
  </si>
  <si>
    <t xml:space="preserve">  962440  208.376000   % Cm244</t>
  </si>
  <si>
    <t xml:space="preserve">  962450  205.218000   % Cm245</t>
  </si>
  <si>
    <t xml:space="preserve">  962460  210.530000   % Cm246</t>
  </si>
  <si>
    <t xml:space="preserve">  962470  209.360700   % Cm247</t>
  </si>
  <si>
    <t xml:space="preserve">  962480  212.006000   % Cm248</t>
  </si>
  <si>
    <t>OpenMCRESULT: UWM_0505_OpenMC_Depletion_SERPENT2_Compare\0505_01_OpenMC_Calculations\91_01_NaCl_UCl3_DP_URR_OFF\91_01_URR_OFF_TRIAL02</t>
  </si>
  <si>
    <t>Serpent2 (set U235H): UWM_0505_OpenMC_Depletion_SERPENT2_Compare\0505_02_Serpent2_Calculations\91_NaCl_UCl3\91_01_NO_REMOVAL_URR_OFF_U235H</t>
  </si>
  <si>
    <t>Serpent2 (set fissh): UWM_0505_OpenMC_Depletion_SERPENT2_Compare\0505_02_Serpent2_Calculations\91_NaCl_UCl3\91_01_NO_REMOVAL_URR_OFF_SET_FISSH</t>
  </si>
  <si>
    <t>*ALL CALCULATION POSTULATE URR OPTION OFF &amp; ENDF 7.1 + FP REMOVAL (GASEOUS FPs)</t>
  </si>
  <si>
    <t>Serpent2.2.1 (set fissh) [pcc = 2]</t>
  </si>
  <si>
    <t>OpenMC v0.15.3 (Predictor Only)</t>
  </si>
  <si>
    <t>OpenMC v0.15.3 (CELI)</t>
  </si>
  <si>
    <t>Serpent2.2.1 (set U235H) [pcc = 2]: UWM_0505_OpenMC_Depletion_SERPENT2_Compare\0505_02_Serpent2_Calculations\91_NaCl_UCl3\91_02_GAS_REMOVAL\TRIAL03_U235H</t>
  </si>
  <si>
    <t>Serpent2.2.1 (set fissh) [pcc = 2]: UWM_0505_OpenMC_Depletion_SERPENT2_Compare\0505_02_Serpent2_Calculations\91_NaCl_UCl3\91_02_GAS_REMOVAL\TRIAL04_SET_FISSH</t>
  </si>
  <si>
    <t>OpenMC v0.15.3 (Predictor Only): UWM_0505_OpenMC_Depletion_SERPENT2_Compare\0505_01_OpenMC_Calculations\91_02_NaCl_UCl3_DP_URR_OFF_REMOVAL\91_02_URR_OFF_TRIAL02_PredictorOnly</t>
  </si>
  <si>
    <t>OpenMC v0.15.3 (CELI): UWM_0505_OpenMC_Depletion_SERPENT2_Compare\0505_01_OpenMC_Calculations\91_02_NaCl_UCl3_DP_URR_OFF_REMOVAL\91_02_URR_OFF_TRIAL03_CELI</t>
  </si>
  <si>
    <t>*NO GAS REMOVAL / Lithium_v2 CHAIN FILE FOR OPENMC</t>
  </si>
  <si>
    <t>BURNUP</t>
  </si>
  <si>
    <t>OpenMC v0.15.3 [CELI]</t>
  </si>
  <si>
    <t>GWD/MTU</t>
  </si>
  <si>
    <t>Serpent2.2.1 [pcc = 1]</t>
  </si>
  <si>
    <t>Serpent2.2.1 (set fissh) [pcc = 1]: UWM_0505_OpenMC_Depletion_SERPENT2_Compare\0505_02_Serpent2_Calculations\11_01_An_From_UOX\TRIAL22_SET_FISSH</t>
  </si>
  <si>
    <t>OpenMC v0.15.3 [CELI]: UWM_0505_OpenMC_Depletion_SERPENT2_Compare\0505_01_OpenMC_Calculations\11_22_LiCl_AnCl3_UOX_DP-SPARK_Lithium6_v2</t>
  </si>
  <si>
    <t>Serpent2.2.1 [pcc = 1]: UWM_0505_OpenMC_Depletion_SERPENT2_Compare\0505_02_Serpent2_Calculations\11_01_An_From_UOX</t>
  </si>
  <si>
    <t>Serpent2.2.1 (set U235H) [pcc = 1]: UWM_0505_OpenMC_Depletion_SERPENT2_Compare\0505_02_Serpent2_Calculations\11_01_An_From_UOX\TRIAL21_U235H</t>
  </si>
  <si>
    <t>OpenMC v0.15.3 [CELI]: UWM_0505_OpenMC_Depletion_SERPENT2_Compare\0505_01_OpenMC_Calculations\91_03_NaCl_AnCl3_DP_URR_OFF\91_03_NaCl_AnCl3_TRI</t>
  </si>
  <si>
    <t>Serpent2.2.1 (set U235H) [pcc = 1]: UWM_0505_OpenMC_Depletion_SERPENT2_Compare\0505_02_Serpent2_Calculations\91_NaCl_UCl3\91_03_NaCl_AnCl3_NO_REMOVAL_URR_OFF_U235H</t>
  </si>
  <si>
    <t>Serpent2.2.1 (set fissh) [pcc = 1]: UWM_0505_OpenMC_Depletion_SERPENT2_Compare\0505_02_Serpent2_Calculations\91_NaCl_UCl3\91_03_NaCl_AnCl3_NO_REMOVAL_URR_OFF_SET_FISSH</t>
  </si>
  <si>
    <t>OpenMC v0.15.3 [CELI]: UWM_0505_OpenMC_Depletion_SERPENT2_Compare\0505_01_OpenMC_Calculations\11_31_LiCl_UCl3\11_31_LiCl_UCl3_DP-SPARK</t>
  </si>
  <si>
    <t>Serpent2.2.1 (set U235H) [pcc = 1]: UWM_0505_OpenMC_Depletion_SERPENT2_Compare\0505_02_Serpent2_Calculations\11_11_LiCl_UCl3\TRIAL01_LiCl_UCl3_U235H</t>
  </si>
  <si>
    <t>Serpent2.2.1 (set fissh) [pcc = 1]: UWM_0505_OpenMC_Depletion_SERPENT2_Compare\0505_02_Serpent2_Calculations\11_11_LiCl_UCl3\TRIAL02_LiCl_UCl3_SET_FISSH</t>
  </si>
  <si>
    <t>*SERPENT CALCULATION: U235H OPTION EMPLOYED / NO GAS REMOVAL / pcc = 1</t>
  </si>
  <si>
    <t xml:space="preserve">[Serpent2.2.1] LiCl-Np237Cl3 </t>
  </si>
  <si>
    <t xml:space="preserve">[OpenMC v0.15.3] LiCl-Np237Cl3 </t>
  </si>
  <si>
    <t xml:space="preserve">[Serpent2.2.1] LiCl-Am241Cl3 </t>
  </si>
  <si>
    <t xml:space="preserve">[OpenMC v0.15.3] LiCl-Am241Cl3 </t>
  </si>
  <si>
    <t xml:space="preserve">[Serpent2.2.1] LiCl-Am243Cl3 </t>
  </si>
  <si>
    <t xml:space="preserve">[OpenMC v0.15.3] LiCl-Am243Cl3 </t>
  </si>
  <si>
    <t xml:space="preserve">[Serpent2.2.1] LiCl-Np237-Cm244Cl3 </t>
  </si>
  <si>
    <t xml:space="preserve">[OpenMC v0.15.3] LiCl-Np237-Cm244Cl3 </t>
  </si>
  <si>
    <t>LiCl-Np237-Cm244Cl3</t>
  </si>
  <si>
    <t>Element</t>
  </si>
  <si>
    <t>a/o</t>
  </si>
  <si>
    <t>Li6</t>
  </si>
  <si>
    <t>Li7</t>
  </si>
  <si>
    <t>Cl35</t>
  </si>
  <si>
    <t>Cl37</t>
  </si>
  <si>
    <t>Np237</t>
  </si>
  <si>
    <t>Cm244</t>
  </si>
  <si>
    <t>SERPENT CALCULATION CAN BE FOUND AS BELOW:</t>
  </si>
  <si>
    <t>UWM_0505_OpenMC_Depletion_SERPENT2_Compare\0505_02_Serpent2_Calculations\11_12_LiCl_Np237Cl3</t>
  </si>
  <si>
    <t>UWM_0505_OpenMC_Depletion_SERPENT2_Compare\0505_02_Serpent2_Calculations\11_12_LiCl_Am241Cl3</t>
  </si>
  <si>
    <t>UWM_0505_OpenMC_Depletion_SERPENT2_Compare\0505_02_Serpent2_Calculations\11_12_LiCl_Am243Cl3</t>
  </si>
  <si>
    <t>UWM_0505_OpenMC_Depletion_SERPENT2_Compare\0505_02_Serpent2_Calculations\11_12_LiCl_Np237_Cm24</t>
  </si>
  <si>
    <t>OpenMC CALCULATION CAN BE FOUND AS BELOW:</t>
  </si>
  <si>
    <t>UWM_0505_OpenMC_Depletion_SERPENT2_Compare\0505_01_OpenMC_Calculations\11_31_LiCl_UCl3\11_32_LiCl_NpCl3_DP-SPARK</t>
  </si>
  <si>
    <t>UWM_0505_OpenMC_Depletion_SERPENT2_Compare\0505_01_OpenMC_Calculations\11_31_LiCl_UCl3\11_32_LiCl_Am241Cl3_DP-SPARK</t>
  </si>
  <si>
    <t>UWM_0505_OpenMC_Depletion_SERPENT2_Compare\0505_01_OpenMC_Calculations\11_31_LiCl_UCl3\11_32_LiCl_Am243Cl3_DP-SPARK</t>
  </si>
  <si>
    <t>UWM_0505_OpenMC_Depletion_SERPENT2_Compare\0505_01_OpenMC_Calculations\11_31_LiCl_UCl3\11_32_LiCl_Np_Cm244Cl3_DP-SPARK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</si>
</sst>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E+00"/>
    <numFmt numFmtId="166" formatCode="0.0"/>
    <numFmt numFmtId="167" formatCode="0.000E+00"/>
  </numFmts>
  <fonts count="1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66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/>
    <xf numFmtId="0" fontId="1" fillId="0" borderId="0" xfId="1"/>
    <xf numFmtId="0" fontId="1" fillId="0" borderId="4" xfId="1" applyBorder="1"/>
    <xf numFmtId="1" fontId="1" fillId="0" borderId="4" xfId="1" applyNumberFormat="1" applyBorder="1"/>
    <xf numFmtId="164" fontId="1" fillId="0" borderId="4" xfId="1" applyNumberFormat="1" applyBorder="1"/>
    <xf numFmtId="165" fontId="1" fillId="0" borderId="4" xfId="1" applyNumberFormat="1" applyBorder="1"/>
    <xf numFmtId="166" fontId="1" fillId="0" borderId="4" xfId="1" applyNumberFormat="1" applyBorder="1"/>
    <xf numFmtId="11" fontId="1" fillId="0" borderId="4" xfId="1" applyNumberFormat="1" applyBorder="1"/>
    <xf numFmtId="1" fontId="3" fillId="0" borderId="4" xfId="1" applyNumberFormat="1" applyFont="1" applyBorder="1"/>
    <xf numFmtId="164" fontId="3" fillId="0" borderId="4" xfId="1" applyNumberFormat="1" applyFont="1" applyBorder="1"/>
    <xf numFmtId="11" fontId="3" fillId="0" borderId="4" xfId="1" applyNumberFormat="1" applyFont="1" applyBorder="1"/>
    <xf numFmtId="166" fontId="3" fillId="0" borderId="4" xfId="1" applyNumberFormat="1" applyFont="1" applyBorder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1" fillId="0" borderId="0" xfId="1" applyFont="1"/>
    <xf numFmtId="0" fontId="10" fillId="0" borderId="0" xfId="1" applyFont="1"/>
    <xf numFmtId="167" fontId="1" fillId="0" borderId="4" xfId="1" applyNumberFormat="1" applyBorder="1"/>
    <xf numFmtId="0" fontId="1" fillId="0" borderId="0" xfId="1" quotePrefix="1"/>
    <xf numFmtId="0" fontId="1" fillId="0" borderId="4" xfId="1" applyBorder="1" applyAlignment="1">
      <alignment horizontal="center" wrapText="1"/>
    </xf>
    <xf numFmtId="0" fontId="1" fillId="0" borderId="4" xfId="1" applyBorder="1" applyAlignment="1">
      <alignment horizontal="center"/>
    </xf>
    <xf numFmtId="0" fontId="1" fillId="0" borderId="4" xfId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 vertical="center"/>
    </xf>
  </cellXfs>
  <cellStyles count="2">
    <cellStyle name="표준" xfId="0" builtinId="0"/>
    <cellStyle name="표준 2" xfId="1" xr:uid="{5438EC1F-5230-45C3-9A16-B37CE9817F77}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NaCl-UCl3 Depletion (URR OFF)</a:t>
            </a:r>
          </a:p>
        </c:rich>
      </c:tx>
      <c:layout>
        <c:manualLayout>
          <c:xMode val="edge"/>
          <c:yMode val="edge"/>
          <c:x val="0.28205557050171548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'01_NaCl-UCl3'!$C$5</c:f>
              <c:strCache>
                <c:ptCount val="1"/>
                <c:pt idx="0">
                  <c:v>Serpent2.2.1 (set U235H) [pcc = 1]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'01_NaCl-UCl3'!$C$7:$C$22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'01_NaCl-UCl3'!$D$7:$D$22</c:f>
              <c:numCache>
                <c:formatCode>0.00000</c:formatCode>
                <c:ptCount val="16"/>
                <c:pt idx="0">
                  <c:v>1.4080600000000001</c:v>
                </c:pt>
                <c:pt idx="1">
                  <c:v>1.40066</c:v>
                </c:pt>
                <c:pt idx="2">
                  <c:v>1.3932899999999999</c:v>
                </c:pt>
                <c:pt idx="3">
                  <c:v>1.3782300000000001</c:v>
                </c:pt>
                <c:pt idx="4">
                  <c:v>1.36266</c:v>
                </c:pt>
                <c:pt idx="5">
                  <c:v>1.34683</c:v>
                </c:pt>
                <c:pt idx="6">
                  <c:v>1.33067</c:v>
                </c:pt>
                <c:pt idx="7">
                  <c:v>1.3141499999999999</c:v>
                </c:pt>
                <c:pt idx="8">
                  <c:v>1.2973699999999999</c:v>
                </c:pt>
                <c:pt idx="9">
                  <c:v>1.28061</c:v>
                </c:pt>
                <c:pt idx="10">
                  <c:v>1.26359</c:v>
                </c:pt>
                <c:pt idx="11">
                  <c:v>1.2467200000000001</c:v>
                </c:pt>
                <c:pt idx="12">
                  <c:v>1.2298899999999999</c:v>
                </c:pt>
                <c:pt idx="13">
                  <c:v>1.2133</c:v>
                </c:pt>
                <c:pt idx="14">
                  <c:v>1.1969399999999999</c:v>
                </c:pt>
                <c:pt idx="15">
                  <c:v>1.18083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9-43FC-BBC1-6A96E556F293}"/>
            </c:ext>
          </c:extLst>
        </c:ser>
        <c:ser>
          <c:idx val="1"/>
          <c:order val="1"/>
          <c:tx>
            <c:strRef>
              <c:f>'01_NaCl-UCl3'!$C$24</c:f>
              <c:strCache>
                <c:ptCount val="1"/>
                <c:pt idx="0">
                  <c:v>Serpent2.2.1 (set fissh) [pcc = 1]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2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'01_NaCl-UCl3'!$C$26:$C$41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'01_NaCl-UCl3'!$D$26:$D$41</c:f>
              <c:numCache>
                <c:formatCode>0.00000</c:formatCode>
                <c:ptCount val="16"/>
                <c:pt idx="0">
                  <c:v>1.40798</c:v>
                </c:pt>
                <c:pt idx="1">
                  <c:v>1.4006099999999999</c:v>
                </c:pt>
                <c:pt idx="2">
                  <c:v>1.3932800000000001</c:v>
                </c:pt>
                <c:pt idx="3">
                  <c:v>1.37822</c:v>
                </c:pt>
                <c:pt idx="4">
                  <c:v>1.36283</c:v>
                </c:pt>
                <c:pt idx="5">
                  <c:v>1.34694</c:v>
                </c:pt>
                <c:pt idx="6">
                  <c:v>1.33064</c:v>
                </c:pt>
                <c:pt idx="7">
                  <c:v>1.31409</c:v>
                </c:pt>
                <c:pt idx="8">
                  <c:v>1.29738</c:v>
                </c:pt>
                <c:pt idx="9">
                  <c:v>1.2804899999999999</c:v>
                </c:pt>
                <c:pt idx="10">
                  <c:v>1.26363</c:v>
                </c:pt>
                <c:pt idx="11">
                  <c:v>1.2466699999999999</c:v>
                </c:pt>
                <c:pt idx="12">
                  <c:v>1.2298</c:v>
                </c:pt>
                <c:pt idx="13">
                  <c:v>1.21336</c:v>
                </c:pt>
                <c:pt idx="14">
                  <c:v>1.19695</c:v>
                </c:pt>
                <c:pt idx="15">
                  <c:v>1.1808099999999999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9-43FC-BBC1-6A96E556F293}"/>
            </c:ext>
          </c:extLst>
        </c:ser>
        <c:ser>
          <c:idx val="2"/>
          <c:order val="2"/>
          <c:tx>
            <c:strRef>
              <c:f>'01_NaCl-UCl3'!$C$43</c:f>
              <c:strCache>
                <c:ptCount val="1"/>
                <c:pt idx="0">
                  <c:v>OpenMC v0.15.3 (fission-q) [CELI]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2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'01_NaCl-UCl3'!$C$45:$C$60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'01_NaCl-UCl3'!$D$45:$D$60</c:f>
              <c:numCache>
                <c:formatCode>0.00000</c:formatCode>
                <c:ptCount val="16"/>
                <c:pt idx="0">
                  <c:v>1.4081600000000001</c:v>
                </c:pt>
                <c:pt idx="1">
                  <c:v>1.40055</c:v>
                </c:pt>
                <c:pt idx="2">
                  <c:v>1.3932</c:v>
                </c:pt>
                <c:pt idx="3">
                  <c:v>1.37832</c:v>
                </c:pt>
                <c:pt idx="4">
                  <c:v>1.3627499999999999</c:v>
                </c:pt>
                <c:pt idx="5">
                  <c:v>1.34697</c:v>
                </c:pt>
                <c:pt idx="6">
                  <c:v>1.3306199999999999</c:v>
                </c:pt>
                <c:pt idx="7">
                  <c:v>1.3142</c:v>
                </c:pt>
                <c:pt idx="8">
                  <c:v>1.2977000000000001</c:v>
                </c:pt>
                <c:pt idx="9">
                  <c:v>1.28064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9-43FC-BBC1-6A96E556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</c:scatterChart>
      <c:valAx>
        <c:axId val="1659628576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</c:valAx>
      <c:valAx>
        <c:axId val="1659630496"/>
        <c:scaling>
          <c:orientation val="minMax"/>
          <c:min val="1.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  <c:majorUnit val="4.0000000000000008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58801954874347"/>
          <c:y val="0.65078278225756592"/>
          <c:w val="0.54696090253313256"/>
          <c:h val="0.12567868648630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NaCl-UCl3 Depletion (URR OFF)</a:t>
            </a:r>
          </a:p>
        </c:rich>
      </c:tx>
      <c:layout>
        <c:manualLayout>
          <c:xMode val="edge"/>
          <c:yMode val="edge"/>
          <c:x val="0.28205557050171548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'02_NaCl-UCl3 (Gas Removal)'!$C$5</c:f>
              <c:strCache>
                <c:ptCount val="1"/>
                <c:pt idx="0">
                  <c:v>Serpent2.2.1 (set U235H) [pcc = 2]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'02_NaCl-UCl3 (Gas Removal)'!$C$7:$C$22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'02_NaCl-UCl3 (Gas Removal)'!$D$7:$D$22</c:f>
              <c:numCache>
                <c:formatCode>0.00000</c:formatCode>
                <c:ptCount val="16"/>
                <c:pt idx="0">
                  <c:v>1.40795</c:v>
                </c:pt>
                <c:pt idx="1">
                  <c:v>1.4012</c:v>
                </c:pt>
                <c:pt idx="2">
                  <c:v>1.3942699999999999</c:v>
                </c:pt>
                <c:pt idx="3">
                  <c:v>1.38028</c:v>
                </c:pt>
                <c:pt idx="4">
                  <c:v>1.3658699999999999</c:v>
                </c:pt>
                <c:pt idx="5">
                  <c:v>1.3509500000000001</c:v>
                </c:pt>
                <c:pt idx="6">
                  <c:v>1.3359099999999999</c:v>
                </c:pt>
                <c:pt idx="7">
                  <c:v>1.32037</c:v>
                </c:pt>
                <c:pt idx="8">
                  <c:v>1.30471</c:v>
                </c:pt>
                <c:pt idx="9">
                  <c:v>1.2889600000000001</c:v>
                </c:pt>
                <c:pt idx="10">
                  <c:v>1.2730600000000001</c:v>
                </c:pt>
                <c:pt idx="11">
                  <c:v>1.2573000000000001</c:v>
                </c:pt>
                <c:pt idx="12">
                  <c:v>1.2415499999999999</c:v>
                </c:pt>
                <c:pt idx="13">
                  <c:v>1.2259500000000001</c:v>
                </c:pt>
                <c:pt idx="14">
                  <c:v>1.2106399999999999</c:v>
                </c:pt>
                <c:pt idx="15">
                  <c:v>1.1955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6-448B-BA60-CB162262A11F}"/>
            </c:ext>
          </c:extLst>
        </c:ser>
        <c:ser>
          <c:idx val="1"/>
          <c:order val="1"/>
          <c:tx>
            <c:strRef>
              <c:f>'02_NaCl-UCl3 (Gas Removal)'!$C$24</c:f>
              <c:strCache>
                <c:ptCount val="1"/>
                <c:pt idx="0">
                  <c:v>Serpent2.2.1 (set fissh) [pcc = 2]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2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'02_NaCl-UCl3 (Gas Removal)'!$C$26:$C$41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'02_NaCl-UCl3 (Gas Removal)'!$D$26:$D$41</c:f>
              <c:numCache>
                <c:formatCode>0.00000</c:formatCode>
                <c:ptCount val="16"/>
                <c:pt idx="0">
                  <c:v>1.4080299999999999</c:v>
                </c:pt>
                <c:pt idx="1">
                  <c:v>1.4012199999999999</c:v>
                </c:pt>
                <c:pt idx="2">
                  <c:v>1.3943000000000001</c:v>
                </c:pt>
                <c:pt idx="3">
                  <c:v>1.3802399999999999</c:v>
                </c:pt>
                <c:pt idx="4">
                  <c:v>1.3657699999999999</c:v>
                </c:pt>
                <c:pt idx="5">
                  <c:v>1.3509500000000001</c:v>
                </c:pt>
                <c:pt idx="6">
                  <c:v>1.33585</c:v>
                </c:pt>
                <c:pt idx="7">
                  <c:v>1.3204100000000001</c:v>
                </c:pt>
                <c:pt idx="8">
                  <c:v>1.3047500000000001</c:v>
                </c:pt>
                <c:pt idx="9">
                  <c:v>1.28901</c:v>
                </c:pt>
                <c:pt idx="10">
                  <c:v>1.2730600000000001</c:v>
                </c:pt>
                <c:pt idx="11">
                  <c:v>1.25722</c:v>
                </c:pt>
                <c:pt idx="12">
                  <c:v>1.2415400000000001</c:v>
                </c:pt>
                <c:pt idx="13">
                  <c:v>1.2258599999999999</c:v>
                </c:pt>
                <c:pt idx="14">
                  <c:v>1.21058</c:v>
                </c:pt>
                <c:pt idx="15">
                  <c:v>1.1956500000000001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C6-448B-BA60-CB162262A11F}"/>
            </c:ext>
          </c:extLst>
        </c:ser>
        <c:ser>
          <c:idx val="2"/>
          <c:order val="2"/>
          <c:tx>
            <c:strRef>
              <c:f>'02_NaCl-UCl3 (Gas Removal)'!$C$43</c:f>
              <c:strCache>
                <c:ptCount val="1"/>
                <c:pt idx="0">
                  <c:v>OpenMC v0.15.3 (Predictor Only)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2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'02_NaCl-UCl3 (Gas Removal)'!$C$45:$C$60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'02_NaCl-UCl3 (Gas Removal)'!$D$45:$D$60</c:f>
              <c:numCache>
                <c:formatCode>0.00000</c:formatCode>
                <c:ptCount val="16"/>
                <c:pt idx="0">
                  <c:v>1.4081600000000001</c:v>
                </c:pt>
                <c:pt idx="1">
                  <c:v>1.40137</c:v>
                </c:pt>
                <c:pt idx="2">
                  <c:v>1.3945099999999999</c:v>
                </c:pt>
                <c:pt idx="3">
                  <c:v>1.3806099999999999</c:v>
                </c:pt>
                <c:pt idx="4">
                  <c:v>1.36629</c:v>
                </c:pt>
                <c:pt idx="5">
                  <c:v>1.3515900000000001</c:v>
                </c:pt>
                <c:pt idx="6">
                  <c:v>1.33691</c:v>
                </c:pt>
                <c:pt idx="7">
                  <c:v>1.3216399999999999</c:v>
                </c:pt>
                <c:pt idx="8">
                  <c:v>1.3064199999999999</c:v>
                </c:pt>
                <c:pt idx="9">
                  <c:v>1.29064</c:v>
                </c:pt>
                <c:pt idx="10">
                  <c:v>1.2752699999999999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C6-448B-BA60-CB162262A11F}"/>
            </c:ext>
          </c:extLst>
        </c:ser>
        <c:ser>
          <c:idx val="3"/>
          <c:order val="3"/>
          <c:tx>
            <c:strRef>
              <c:f>'02_NaCl-UCl3 (Gas Removal)'!$C$62</c:f>
              <c:strCache>
                <c:ptCount val="1"/>
                <c:pt idx="0">
                  <c:v>OpenMC v0.15.3 (CELI)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2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'02_NaCl-UCl3 (Gas Removal)'!$C$64:$C$79</c:f>
              <c:numCache>
                <c:formatCode>0</c:formatCode>
                <c:ptCount val="1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</c:numCache>
            </c:numRef>
          </c:xVal>
          <c:yVal>
            <c:numRef>
              <c:f>'02_NaCl-UCl3 (Gas Removal)'!$D$64:$D$79</c:f>
              <c:numCache>
                <c:formatCode>0.00000</c:formatCode>
                <c:ptCount val="16"/>
                <c:pt idx="0">
                  <c:v>1.4081600000000001</c:v>
                </c:pt>
                <c:pt idx="1">
                  <c:v>1.40113</c:v>
                </c:pt>
                <c:pt idx="2">
                  <c:v>1.39428</c:v>
                </c:pt>
                <c:pt idx="3">
                  <c:v>1.38039</c:v>
                </c:pt>
                <c:pt idx="4">
                  <c:v>1.3661399999999999</c:v>
                </c:pt>
                <c:pt idx="5">
                  <c:v>1.3509599999999999</c:v>
                </c:pt>
                <c:pt idx="6">
                  <c:v>1.33602</c:v>
                </c:pt>
                <c:pt idx="7">
                  <c:v>1.3204800000000001</c:v>
                </c:pt>
                <c:pt idx="8">
                  <c:v>1.30474</c:v>
                </c:pt>
                <c:pt idx="9">
                  <c:v>1.28925</c:v>
                </c:pt>
                <c:pt idx="10">
                  <c:v>1.2734799999999999</c:v>
                </c:pt>
                <c:pt idx="11">
                  <c:v>1.25708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C6-448B-BA60-CB162262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</c:scatterChart>
      <c:valAx>
        <c:axId val="1659628576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</c:valAx>
      <c:valAx>
        <c:axId val="1659630496"/>
        <c:scaling>
          <c:orientation val="minMax"/>
          <c:min val="1.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  <c:majorUnit val="4.0000000000000008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305359638323861E-2"/>
          <c:y val="0.64154491144858306"/>
          <c:w val="0.54696090253313256"/>
          <c:h val="0.14415442810427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LiCl-AnCl3 Depletion (URR OFF)</a:t>
            </a:r>
          </a:p>
        </c:rich>
      </c:tx>
      <c:layout>
        <c:manualLayout>
          <c:xMode val="edge"/>
          <c:yMode val="edge"/>
          <c:x val="0.28205557050171548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'03_LiCl-AnCl3'!$F$3:$L$3</c:f>
              <c:strCache>
                <c:ptCount val="1"/>
                <c:pt idx="0">
                  <c:v>OpenMC v0.15.3 [CELI]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1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'03_LiCl-AnCl3'!$D$5:$D$31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'03_LiCl-AnCl3'!$F$5:$F$31</c:f>
              <c:numCache>
                <c:formatCode>0.00000</c:formatCode>
                <c:ptCount val="27"/>
                <c:pt idx="0">
                  <c:v>1.1225540000000001</c:v>
                </c:pt>
                <c:pt idx="1">
                  <c:v>1.1280650000000001</c:v>
                </c:pt>
                <c:pt idx="2">
                  <c:v>1.1327160000000001</c:v>
                </c:pt>
                <c:pt idx="3">
                  <c:v>1.140601</c:v>
                </c:pt>
                <c:pt idx="4">
                  <c:v>1.1480189999999999</c:v>
                </c:pt>
                <c:pt idx="5">
                  <c:v>1.154512</c:v>
                </c:pt>
                <c:pt idx="6">
                  <c:v>1.1599429999999999</c:v>
                </c:pt>
                <c:pt idx="7">
                  <c:v>1.1646799999999999</c:v>
                </c:pt>
                <c:pt idx="8">
                  <c:v>1.169089</c:v>
                </c:pt>
                <c:pt idx="9">
                  <c:v>1.172617</c:v>
                </c:pt>
                <c:pt idx="10">
                  <c:v>1.175529</c:v>
                </c:pt>
                <c:pt idx="11">
                  <c:v>1.1776899999999999</c:v>
                </c:pt>
                <c:pt idx="12">
                  <c:v>1.1797139999999999</c:v>
                </c:pt>
                <c:pt idx="13">
                  <c:v>1.1811510000000001</c:v>
                </c:pt>
                <c:pt idx="14">
                  <c:v>1.1817569999999999</c:v>
                </c:pt>
                <c:pt idx="15">
                  <c:v>1.182485</c:v>
                </c:pt>
                <c:pt idx="16">
                  <c:v>1.1820139999999999</c:v>
                </c:pt>
                <c:pt idx="17">
                  <c:v>1.181427</c:v>
                </c:pt>
                <c:pt idx="18">
                  <c:v>1.18042</c:v>
                </c:pt>
                <c:pt idx="19">
                  <c:v>1.179133</c:v>
                </c:pt>
                <c:pt idx="20">
                  <c:v>1.1774100000000001</c:v>
                </c:pt>
                <c:pt idx="21">
                  <c:v>1.175</c:v>
                </c:pt>
                <c:pt idx="22">
                  <c:v>1.1728670000000001</c:v>
                </c:pt>
                <c:pt idx="23">
                  <c:v>1.1694290000000001</c:v>
                </c:pt>
                <c:pt idx="24">
                  <c:v>1.166291</c:v>
                </c:pt>
                <c:pt idx="25">
                  <c:v>1.162625</c:v>
                </c:pt>
                <c:pt idx="26">
                  <c:v>1.1583829999999999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9-4928-A220-266AE6DBAC1A}"/>
            </c:ext>
          </c:extLst>
        </c:ser>
        <c:ser>
          <c:idx val="1"/>
          <c:order val="1"/>
          <c:tx>
            <c:strRef>
              <c:f>'03_LiCl-AnCl3'!$F$33:$L$33</c:f>
              <c:strCache>
                <c:ptCount val="1"/>
                <c:pt idx="0">
                  <c:v>Serpent2.2.1 [pcc = 1]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10000"/>
                </a:srgbClr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'03_LiCl-AnCl3'!$D$35:$D$61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'03_LiCl-AnCl3'!$F$35:$F$61</c:f>
              <c:numCache>
                <c:formatCode>0.00000</c:formatCode>
                <c:ptCount val="27"/>
                <c:pt idx="0">
                  <c:v>1.123</c:v>
                </c:pt>
                <c:pt idx="1">
                  <c:v>1.1273</c:v>
                </c:pt>
                <c:pt idx="2">
                  <c:v>1.13113</c:v>
                </c:pt>
                <c:pt idx="3">
                  <c:v>1.1372800000000001</c:v>
                </c:pt>
                <c:pt idx="4">
                  <c:v>1.14357</c:v>
                </c:pt>
                <c:pt idx="5">
                  <c:v>1.1485700000000001</c:v>
                </c:pt>
                <c:pt idx="6">
                  <c:v>1.15324</c:v>
                </c:pt>
                <c:pt idx="7">
                  <c:v>1.1569499999999999</c:v>
                </c:pt>
                <c:pt idx="8">
                  <c:v>1.1605300000000001</c:v>
                </c:pt>
                <c:pt idx="9">
                  <c:v>1.16307</c:v>
                </c:pt>
                <c:pt idx="10">
                  <c:v>1.1654500000000001</c:v>
                </c:pt>
                <c:pt idx="11">
                  <c:v>1.16751</c:v>
                </c:pt>
                <c:pt idx="12">
                  <c:v>1.1689700000000001</c:v>
                </c:pt>
                <c:pt idx="13">
                  <c:v>1.1697</c:v>
                </c:pt>
                <c:pt idx="14">
                  <c:v>1.1699299999999999</c:v>
                </c:pt>
                <c:pt idx="15">
                  <c:v>1.1706099999999999</c:v>
                </c:pt>
                <c:pt idx="16">
                  <c:v>1.17028</c:v>
                </c:pt>
                <c:pt idx="17">
                  <c:v>1.1692899999999999</c:v>
                </c:pt>
                <c:pt idx="18">
                  <c:v>1.1684300000000001</c:v>
                </c:pt>
                <c:pt idx="19">
                  <c:v>1.1669700000000001</c:v>
                </c:pt>
                <c:pt idx="20">
                  <c:v>1.1653</c:v>
                </c:pt>
                <c:pt idx="21">
                  <c:v>1.1632199999999999</c:v>
                </c:pt>
                <c:pt idx="22">
                  <c:v>1.16065</c:v>
                </c:pt>
                <c:pt idx="23">
                  <c:v>1.15831</c:v>
                </c:pt>
                <c:pt idx="24">
                  <c:v>1.1548400000000001</c:v>
                </c:pt>
                <c:pt idx="25">
                  <c:v>1.1515899999999999</c:v>
                </c:pt>
                <c:pt idx="26">
                  <c:v>1.14808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09-4928-A220-266AE6DBAC1A}"/>
            </c:ext>
          </c:extLst>
        </c:ser>
        <c:ser>
          <c:idx val="2"/>
          <c:order val="2"/>
          <c:tx>
            <c:strRef>
              <c:f>'03_LiCl-AnCl3'!$F$63:$L$63</c:f>
              <c:strCache>
                <c:ptCount val="1"/>
                <c:pt idx="0">
                  <c:v>Serpent2.2.1 (set U235H) [pcc = 1]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10000"/>
                </a:srgbClr>
              </a:solidFill>
              <a:ln w="12700">
                <a:solidFill>
                  <a:srgbClr val="0000FF"/>
                </a:solidFill>
              </a:ln>
              <a:effectLst/>
            </c:spPr>
          </c:marker>
          <c:xVal>
            <c:numRef>
              <c:f>'03_LiCl-AnCl3'!$D$65:$D$91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'03_LiCl-AnCl3'!$F$65:$F$91</c:f>
              <c:numCache>
                <c:formatCode>0.00000</c:formatCode>
                <c:ptCount val="27"/>
                <c:pt idx="0">
                  <c:v>1.1222099999999999</c:v>
                </c:pt>
                <c:pt idx="1">
                  <c:v>1.12731</c:v>
                </c:pt>
                <c:pt idx="2">
                  <c:v>1.1311800000000001</c:v>
                </c:pt>
                <c:pt idx="3">
                  <c:v>1.13856</c:v>
                </c:pt>
                <c:pt idx="4">
                  <c:v>1.1447700000000001</c:v>
                </c:pt>
                <c:pt idx="5">
                  <c:v>1.14994</c:v>
                </c:pt>
                <c:pt idx="6">
                  <c:v>1.15422</c:v>
                </c:pt>
                <c:pt idx="7">
                  <c:v>1.1584399999999999</c:v>
                </c:pt>
                <c:pt idx="8">
                  <c:v>1.1621699999999999</c:v>
                </c:pt>
                <c:pt idx="9">
                  <c:v>1.1650799999999999</c:v>
                </c:pt>
                <c:pt idx="10">
                  <c:v>1.16734</c:v>
                </c:pt>
                <c:pt idx="11">
                  <c:v>1.1690199999999999</c:v>
                </c:pt>
                <c:pt idx="12">
                  <c:v>1.17014</c:v>
                </c:pt>
                <c:pt idx="13">
                  <c:v>1.1712899999999999</c:v>
                </c:pt>
                <c:pt idx="14">
                  <c:v>1.1717900000000001</c:v>
                </c:pt>
                <c:pt idx="15">
                  <c:v>1.1717500000000001</c:v>
                </c:pt>
                <c:pt idx="16">
                  <c:v>1.17119</c:v>
                </c:pt>
                <c:pt idx="17">
                  <c:v>1.1703600000000001</c:v>
                </c:pt>
                <c:pt idx="18">
                  <c:v>1.16896</c:v>
                </c:pt>
                <c:pt idx="19">
                  <c:v>1.16744</c:v>
                </c:pt>
                <c:pt idx="20">
                  <c:v>1.1655199999999999</c:v>
                </c:pt>
                <c:pt idx="21">
                  <c:v>1.1632899999999999</c:v>
                </c:pt>
                <c:pt idx="22">
                  <c:v>1.1604699999999999</c:v>
                </c:pt>
                <c:pt idx="23">
                  <c:v>1.1573899999999999</c:v>
                </c:pt>
                <c:pt idx="24">
                  <c:v>1.1540999999999999</c:v>
                </c:pt>
                <c:pt idx="25">
                  <c:v>1.1503399999999999</c:v>
                </c:pt>
                <c:pt idx="26">
                  <c:v>1.1463300000000001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09-4928-A220-266AE6DBAC1A}"/>
            </c:ext>
          </c:extLst>
        </c:ser>
        <c:ser>
          <c:idx val="3"/>
          <c:order val="3"/>
          <c:tx>
            <c:strRef>
              <c:f>'03_LiCl-AnCl3'!$F$93:$L$93</c:f>
              <c:strCache>
                <c:ptCount val="1"/>
                <c:pt idx="0">
                  <c:v>Serpent2.2.1 (set fissh) [pcc = 1]</c:v>
                </c:pt>
              </c:strCache>
            </c:strRef>
          </c:tx>
          <c:spPr>
            <a:ln w="12700" cap="rnd">
              <a:solidFill>
                <a:srgbClr val="0066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006600">
                  <a:alpha val="10000"/>
                </a:srgbClr>
              </a:solidFill>
              <a:ln w="12700">
                <a:solidFill>
                  <a:srgbClr val="006600"/>
                </a:solidFill>
              </a:ln>
              <a:effectLst/>
            </c:spPr>
          </c:marker>
          <c:xVal>
            <c:numRef>
              <c:f>'03_LiCl-AnCl3'!$D$95:$D$121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'03_LiCl-AnCl3'!$F$95:$F$121</c:f>
              <c:numCache>
                <c:formatCode>0.00000</c:formatCode>
                <c:ptCount val="27"/>
                <c:pt idx="0">
                  <c:v>1.1226100000000001</c:v>
                </c:pt>
                <c:pt idx="1">
                  <c:v>1.12738</c:v>
                </c:pt>
                <c:pt idx="2">
                  <c:v>1.1313200000000001</c:v>
                </c:pt>
                <c:pt idx="3">
                  <c:v>1.1380399999999999</c:v>
                </c:pt>
                <c:pt idx="4">
                  <c:v>1.1446700000000001</c:v>
                </c:pt>
                <c:pt idx="5">
                  <c:v>1.1495899999999999</c:v>
                </c:pt>
                <c:pt idx="6">
                  <c:v>1.1546400000000001</c:v>
                </c:pt>
                <c:pt idx="7">
                  <c:v>1.1585300000000001</c:v>
                </c:pt>
                <c:pt idx="8">
                  <c:v>1.1623000000000001</c:v>
                </c:pt>
                <c:pt idx="9">
                  <c:v>1.1650100000000001</c:v>
                </c:pt>
                <c:pt idx="10">
                  <c:v>1.1672899999999999</c:v>
                </c:pt>
                <c:pt idx="11">
                  <c:v>1.16899</c:v>
                </c:pt>
                <c:pt idx="12">
                  <c:v>1.1706399999999999</c:v>
                </c:pt>
                <c:pt idx="13">
                  <c:v>1.1710799999999999</c:v>
                </c:pt>
                <c:pt idx="14">
                  <c:v>1.17167</c:v>
                </c:pt>
                <c:pt idx="15">
                  <c:v>1.1717599999999999</c:v>
                </c:pt>
                <c:pt idx="16">
                  <c:v>1.1710700000000001</c:v>
                </c:pt>
                <c:pt idx="17">
                  <c:v>1.17022</c:v>
                </c:pt>
                <c:pt idx="18">
                  <c:v>1.16899</c:v>
                </c:pt>
                <c:pt idx="19">
                  <c:v>1.1677299999999999</c:v>
                </c:pt>
                <c:pt idx="20">
                  <c:v>1.16543</c:v>
                </c:pt>
                <c:pt idx="21">
                  <c:v>1.1631800000000001</c:v>
                </c:pt>
                <c:pt idx="22">
                  <c:v>1.1602699999999999</c:v>
                </c:pt>
                <c:pt idx="23">
                  <c:v>1.1574599999999999</c:v>
                </c:pt>
                <c:pt idx="24">
                  <c:v>1.1541699999999999</c:v>
                </c:pt>
                <c:pt idx="25">
                  <c:v>1.1504700000000001</c:v>
                </c:pt>
                <c:pt idx="26">
                  <c:v>1.1463000000000001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09-4928-A220-266AE6DBA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</c:scatterChart>
      <c:valAx>
        <c:axId val="165962857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  <c:majorUnit val="20"/>
      </c:valAx>
      <c:valAx>
        <c:axId val="1659630496"/>
        <c:scaling>
          <c:orientation val="minMax"/>
          <c:max val="1.1900000000000002"/>
          <c:min val="1.11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789317396556231"/>
          <c:y val="0.61691058929129527"/>
          <c:w val="0.45009316423464213"/>
          <c:h val="0.16878875026155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NaCl-AnCl3 Depletion (URR OFF)</a:t>
            </a:r>
          </a:p>
        </c:rich>
      </c:tx>
      <c:layout>
        <c:manualLayout>
          <c:xMode val="edge"/>
          <c:yMode val="edge"/>
          <c:x val="0.28205557050171548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'04_NaCl_AnCl3'!$F$3:$L$3</c:f>
              <c:strCache>
                <c:ptCount val="1"/>
                <c:pt idx="0">
                  <c:v>OpenMC v0.15.3 [CELI]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1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'04_NaCl_AnCl3'!$D$5:$D$31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'04_NaCl_AnCl3'!$F$5:$F$31</c:f>
              <c:numCache>
                <c:formatCode>0.00000</c:formatCode>
                <c:ptCount val="27"/>
                <c:pt idx="0">
                  <c:v>1.189891</c:v>
                </c:pt>
                <c:pt idx="1">
                  <c:v>1.197603</c:v>
                </c:pt>
                <c:pt idx="2">
                  <c:v>1.20397</c:v>
                </c:pt>
                <c:pt idx="3">
                  <c:v>1.21618</c:v>
                </c:pt>
                <c:pt idx="4">
                  <c:v>1.22678</c:v>
                </c:pt>
                <c:pt idx="5">
                  <c:v>1.2365409999999999</c:v>
                </c:pt>
                <c:pt idx="6">
                  <c:v>1.2454559999999999</c:v>
                </c:pt>
                <c:pt idx="7">
                  <c:v>1.253196</c:v>
                </c:pt>
                <c:pt idx="8">
                  <c:v>1.260014</c:v>
                </c:pt>
                <c:pt idx="9">
                  <c:v>1.266761</c:v>
                </c:pt>
                <c:pt idx="10">
                  <c:v>1.2724569999999999</c:v>
                </c:pt>
                <c:pt idx="11">
                  <c:v>1.277299</c:v>
                </c:pt>
                <c:pt idx="12">
                  <c:v>1.2816590000000001</c:v>
                </c:pt>
                <c:pt idx="13">
                  <c:v>1.2855840000000001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F-4B08-9491-B12F9AD8441A}"/>
            </c:ext>
          </c:extLst>
        </c:ser>
        <c:ser>
          <c:idx val="2"/>
          <c:order val="2"/>
          <c:tx>
            <c:strRef>
              <c:f>'04_NaCl_AnCl3'!$F$63:$L$63</c:f>
              <c:strCache>
                <c:ptCount val="1"/>
                <c:pt idx="0">
                  <c:v>Serpent2.2.1 (set U235H) [pcc = 1]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10000"/>
                </a:srgbClr>
              </a:solidFill>
              <a:ln w="12700">
                <a:solidFill>
                  <a:srgbClr val="0000FF"/>
                </a:solidFill>
              </a:ln>
              <a:effectLst/>
            </c:spPr>
          </c:marker>
          <c:xVal>
            <c:numRef>
              <c:f>'04_NaCl_AnCl3'!$D$65:$D$91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'04_NaCl_AnCl3'!$F$65:$F$91</c:f>
              <c:numCache>
                <c:formatCode>0.00000</c:formatCode>
                <c:ptCount val="27"/>
                <c:pt idx="0">
                  <c:v>1.1900299999999999</c:v>
                </c:pt>
                <c:pt idx="1">
                  <c:v>1.1967000000000001</c:v>
                </c:pt>
                <c:pt idx="2">
                  <c:v>1.20258</c:v>
                </c:pt>
                <c:pt idx="3">
                  <c:v>1.2132700000000001</c:v>
                </c:pt>
                <c:pt idx="4">
                  <c:v>1.22275</c:v>
                </c:pt>
                <c:pt idx="5">
                  <c:v>1.23125</c:v>
                </c:pt>
                <c:pt idx="6">
                  <c:v>1.23905</c:v>
                </c:pt>
                <c:pt idx="7">
                  <c:v>1.24604</c:v>
                </c:pt>
                <c:pt idx="8">
                  <c:v>1.25231</c:v>
                </c:pt>
                <c:pt idx="9">
                  <c:v>1.2577499999999999</c:v>
                </c:pt>
                <c:pt idx="10">
                  <c:v>1.2629600000000001</c:v>
                </c:pt>
                <c:pt idx="11">
                  <c:v>1.2674099999999999</c:v>
                </c:pt>
                <c:pt idx="12">
                  <c:v>1.2709600000000001</c:v>
                </c:pt>
                <c:pt idx="13">
                  <c:v>1.27441</c:v>
                </c:pt>
                <c:pt idx="14">
                  <c:v>1.2775799999999999</c:v>
                </c:pt>
                <c:pt idx="15">
                  <c:v>1.2800499999999999</c:v>
                </c:pt>
                <c:pt idx="16">
                  <c:v>1.28199</c:v>
                </c:pt>
                <c:pt idx="17">
                  <c:v>1.2835700000000001</c:v>
                </c:pt>
                <c:pt idx="18">
                  <c:v>1.28471</c:v>
                </c:pt>
                <c:pt idx="19">
                  <c:v>1.2855700000000001</c:v>
                </c:pt>
                <c:pt idx="20">
                  <c:v>1.2859400000000001</c:v>
                </c:pt>
                <c:pt idx="21">
                  <c:v>1.28626</c:v>
                </c:pt>
                <c:pt idx="22">
                  <c:v>1.28609</c:v>
                </c:pt>
                <c:pt idx="23">
                  <c:v>1.286</c:v>
                </c:pt>
                <c:pt idx="24">
                  <c:v>1.2848200000000001</c:v>
                </c:pt>
                <c:pt idx="25">
                  <c:v>1.2837000000000001</c:v>
                </c:pt>
                <c:pt idx="26">
                  <c:v>1.28233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3F-4B08-9491-B12F9AD8441A}"/>
            </c:ext>
          </c:extLst>
        </c:ser>
        <c:ser>
          <c:idx val="3"/>
          <c:order val="3"/>
          <c:tx>
            <c:strRef>
              <c:f>'04_NaCl_AnCl3'!$F$93:$L$93</c:f>
              <c:strCache>
                <c:ptCount val="1"/>
                <c:pt idx="0">
                  <c:v>Serpent2.2.1 (set fissh) [pcc = 1]</c:v>
                </c:pt>
              </c:strCache>
            </c:strRef>
          </c:tx>
          <c:spPr>
            <a:ln w="12700" cap="rnd">
              <a:solidFill>
                <a:srgbClr val="0066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006600">
                  <a:alpha val="10000"/>
                </a:srgbClr>
              </a:solidFill>
              <a:ln w="12700">
                <a:solidFill>
                  <a:srgbClr val="006600"/>
                </a:solidFill>
              </a:ln>
              <a:effectLst/>
            </c:spPr>
          </c:marker>
          <c:xVal>
            <c:numRef>
              <c:f>'04_NaCl_AnCl3'!$D$95:$D$121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'04_NaCl_AnCl3'!$F$95:$F$121</c:f>
              <c:numCache>
                <c:formatCode>0.00000</c:formatCode>
                <c:ptCount val="27"/>
                <c:pt idx="0">
                  <c:v>1.18998</c:v>
                </c:pt>
                <c:pt idx="1">
                  <c:v>1.1971499999999999</c:v>
                </c:pt>
                <c:pt idx="2">
                  <c:v>1.20272</c:v>
                </c:pt>
                <c:pt idx="3">
                  <c:v>1.21333</c:v>
                </c:pt>
                <c:pt idx="4">
                  <c:v>1.22258</c:v>
                </c:pt>
                <c:pt idx="5">
                  <c:v>1.2314700000000001</c:v>
                </c:pt>
                <c:pt idx="6">
                  <c:v>1.23895</c:v>
                </c:pt>
                <c:pt idx="7">
                  <c:v>1.24621</c:v>
                </c:pt>
                <c:pt idx="8">
                  <c:v>1.2524200000000001</c:v>
                </c:pt>
                <c:pt idx="9">
                  <c:v>1.2578499999999999</c:v>
                </c:pt>
                <c:pt idx="10">
                  <c:v>1.26274</c:v>
                </c:pt>
                <c:pt idx="11">
                  <c:v>1.2670999999999999</c:v>
                </c:pt>
                <c:pt idx="12">
                  <c:v>1.2711399999999999</c:v>
                </c:pt>
                <c:pt idx="13">
                  <c:v>1.2747900000000001</c:v>
                </c:pt>
                <c:pt idx="14">
                  <c:v>1.2775099999999999</c:v>
                </c:pt>
                <c:pt idx="15">
                  <c:v>1.2800800000000001</c:v>
                </c:pt>
                <c:pt idx="16">
                  <c:v>1.2820199999999999</c:v>
                </c:pt>
                <c:pt idx="17">
                  <c:v>1.2836700000000001</c:v>
                </c:pt>
                <c:pt idx="18">
                  <c:v>1.2847299999999999</c:v>
                </c:pt>
                <c:pt idx="19">
                  <c:v>1.2855300000000001</c:v>
                </c:pt>
                <c:pt idx="20">
                  <c:v>1.2861400000000001</c:v>
                </c:pt>
                <c:pt idx="21">
                  <c:v>1.28633</c:v>
                </c:pt>
                <c:pt idx="22">
                  <c:v>1.28607</c:v>
                </c:pt>
                <c:pt idx="23">
                  <c:v>1.2856799999999999</c:v>
                </c:pt>
                <c:pt idx="24">
                  <c:v>1.28487</c:v>
                </c:pt>
                <c:pt idx="25">
                  <c:v>1.28379</c:v>
                </c:pt>
                <c:pt idx="26">
                  <c:v>1.2824500000000001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3F-4B08-9491-B12F9AD8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'04_NaCl_AnCl3'!$F$33:$L$33</c15:sqref>
                        </c15:formulaRef>
                      </c:ext>
                    </c:extLst>
                    <c:strCache>
                      <c:ptCount val="1"/>
                      <c:pt idx="0">
                        <c:v>Serpent2.2.1 [pcc = 1]</c:v>
                      </c:pt>
                    </c:strCache>
                  </c:strRef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>
                        <a:alpha val="10000"/>
                      </a:srgbClr>
                    </a:solidFill>
                    <a:ln w="127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'04_NaCl_AnCl3'!$D$35:$D$61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20</c:v>
                      </c:pt>
                      <c:pt idx="4">
                        <c:v>30</c:v>
                      </c:pt>
                      <c:pt idx="5">
                        <c:v>40</c:v>
                      </c:pt>
                      <c:pt idx="6">
                        <c:v>50</c:v>
                      </c:pt>
                      <c:pt idx="7">
                        <c:v>60</c:v>
                      </c:pt>
                      <c:pt idx="8">
                        <c:v>70</c:v>
                      </c:pt>
                      <c:pt idx="9">
                        <c:v>80</c:v>
                      </c:pt>
                      <c:pt idx="10">
                        <c:v>90</c:v>
                      </c:pt>
                      <c:pt idx="11">
                        <c:v>100</c:v>
                      </c:pt>
                      <c:pt idx="12">
                        <c:v>110</c:v>
                      </c:pt>
                      <c:pt idx="13">
                        <c:v>120</c:v>
                      </c:pt>
                      <c:pt idx="14">
                        <c:v>130</c:v>
                      </c:pt>
                      <c:pt idx="15">
                        <c:v>140</c:v>
                      </c:pt>
                      <c:pt idx="16">
                        <c:v>150</c:v>
                      </c:pt>
                      <c:pt idx="17">
                        <c:v>160</c:v>
                      </c:pt>
                      <c:pt idx="18">
                        <c:v>170</c:v>
                      </c:pt>
                      <c:pt idx="19">
                        <c:v>180</c:v>
                      </c:pt>
                      <c:pt idx="20">
                        <c:v>190</c:v>
                      </c:pt>
                      <c:pt idx="21">
                        <c:v>200</c:v>
                      </c:pt>
                      <c:pt idx="22">
                        <c:v>210</c:v>
                      </c:pt>
                      <c:pt idx="23">
                        <c:v>220</c:v>
                      </c:pt>
                      <c:pt idx="24">
                        <c:v>230</c:v>
                      </c:pt>
                      <c:pt idx="25">
                        <c:v>240</c:v>
                      </c:pt>
                      <c:pt idx="26">
                        <c:v>250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'04_NaCl_AnCl3'!$F$35:$F$61</c15:sqref>
                        </c15:formulaRef>
                      </c:ext>
                    </c:extLst>
                    <c:numCache>
                      <c:formatCode>0.00000</c:formatCode>
                      <c:ptCount val="2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E23F-4B08-9491-B12F9AD8441A}"/>
                  </c:ext>
                </c:extLst>
              </c15:ser>
            </c15:filteredScatterSeries>
          </c:ext>
        </c:extLst>
      </c:scatterChart>
      <c:valAx>
        <c:axId val="165962857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  <c:majorUnit val="20"/>
      </c:valAx>
      <c:valAx>
        <c:axId val="165963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676196208662921"/>
          <c:y val="0.61691058929129527"/>
          <c:w val="0.45009316423464213"/>
          <c:h val="0.16878875026155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LiCl-UCl3 Depletion (URR OFF)</a:t>
            </a:r>
          </a:p>
        </c:rich>
      </c:tx>
      <c:layout>
        <c:manualLayout>
          <c:xMode val="edge"/>
          <c:yMode val="edge"/>
          <c:x val="0.31087906058118003"/>
          <c:y val="3.695148323593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'05_LiCl_UCl3'!$F$3:$L$3</c:f>
              <c:strCache>
                <c:ptCount val="1"/>
                <c:pt idx="0">
                  <c:v>OpenMC v0.15.3 [CELI]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1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'05_LiCl_UCl3'!$D$5:$D$31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'05_LiCl_UCl3'!$F$5:$F$31</c:f>
              <c:numCache>
                <c:formatCode>0.00000</c:formatCode>
                <c:ptCount val="27"/>
                <c:pt idx="0">
                  <c:v>1.1583300000000001</c:v>
                </c:pt>
                <c:pt idx="1">
                  <c:v>1.153089</c:v>
                </c:pt>
                <c:pt idx="2">
                  <c:v>1.1476949999999999</c:v>
                </c:pt>
                <c:pt idx="3">
                  <c:v>1.1356470000000001</c:v>
                </c:pt>
                <c:pt idx="4">
                  <c:v>1.1232249999999999</c:v>
                </c:pt>
                <c:pt idx="5">
                  <c:v>1.1093280000000001</c:v>
                </c:pt>
                <c:pt idx="6">
                  <c:v>1.095251</c:v>
                </c:pt>
                <c:pt idx="7">
                  <c:v>1.0802210000000001</c:v>
                </c:pt>
                <c:pt idx="8">
                  <c:v>1.0643769999999999</c:v>
                </c:pt>
                <c:pt idx="9">
                  <c:v>1.048654</c:v>
                </c:pt>
                <c:pt idx="10">
                  <c:v>1.0321400000000001</c:v>
                </c:pt>
                <c:pt idx="11">
                  <c:v>1.0159560000000001</c:v>
                </c:pt>
                <c:pt idx="12">
                  <c:v>0.99925399999999998</c:v>
                </c:pt>
                <c:pt idx="13">
                  <c:v>0.98239299999999996</c:v>
                </c:pt>
                <c:pt idx="14">
                  <c:v>0.96621500000000005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0-46A4-AC02-82772F8CFBBF}"/>
            </c:ext>
          </c:extLst>
        </c:ser>
        <c:ser>
          <c:idx val="2"/>
          <c:order val="2"/>
          <c:tx>
            <c:strRef>
              <c:f>'05_LiCl_UCl3'!$F$63:$L$63</c:f>
              <c:strCache>
                <c:ptCount val="1"/>
                <c:pt idx="0">
                  <c:v>Serpent2.2.1 (set U235H) [pcc = 1]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00FF">
                  <a:alpha val="10000"/>
                </a:srgbClr>
              </a:solidFill>
              <a:ln w="12700">
                <a:solidFill>
                  <a:srgbClr val="0000FF"/>
                </a:solidFill>
              </a:ln>
              <a:effectLst/>
            </c:spPr>
          </c:marker>
          <c:xVal>
            <c:numRef>
              <c:f>'05_LiCl_UCl3'!$D$65:$D$91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'05_LiCl_UCl3'!$F$65:$F$91</c:f>
              <c:numCache>
                <c:formatCode>0.00000</c:formatCode>
                <c:ptCount val="27"/>
                <c:pt idx="0">
                  <c:v>1.1583300000000001</c:v>
                </c:pt>
                <c:pt idx="1">
                  <c:v>1.1530199999999999</c:v>
                </c:pt>
                <c:pt idx="2">
                  <c:v>1.1476599999999999</c:v>
                </c:pt>
                <c:pt idx="3">
                  <c:v>1.1358200000000001</c:v>
                </c:pt>
                <c:pt idx="4">
                  <c:v>1.1230100000000001</c:v>
                </c:pt>
                <c:pt idx="5">
                  <c:v>1.1093500000000001</c:v>
                </c:pt>
                <c:pt idx="6">
                  <c:v>1.09491</c:v>
                </c:pt>
                <c:pt idx="7">
                  <c:v>1.0799099999999999</c:v>
                </c:pt>
                <c:pt idx="8">
                  <c:v>1.06433</c:v>
                </c:pt>
                <c:pt idx="9">
                  <c:v>1.0483199999999999</c:v>
                </c:pt>
                <c:pt idx="10">
                  <c:v>1.0319100000000001</c:v>
                </c:pt>
                <c:pt idx="11">
                  <c:v>1.01552</c:v>
                </c:pt>
                <c:pt idx="12">
                  <c:v>0.998977</c:v>
                </c:pt>
                <c:pt idx="13">
                  <c:v>0.98237799999999997</c:v>
                </c:pt>
                <c:pt idx="14">
                  <c:v>0.96589800000000003</c:v>
                </c:pt>
                <c:pt idx="15">
                  <c:v>0.949542</c:v>
                </c:pt>
                <c:pt idx="16">
                  <c:v>0.93334300000000003</c:v>
                </c:pt>
                <c:pt idx="17">
                  <c:v>0.91748200000000002</c:v>
                </c:pt>
                <c:pt idx="18">
                  <c:v>0.90184500000000001</c:v>
                </c:pt>
                <c:pt idx="19">
                  <c:v>0.88657600000000003</c:v>
                </c:pt>
                <c:pt idx="20">
                  <c:v>0.87167300000000003</c:v>
                </c:pt>
                <c:pt idx="21">
                  <c:v>0.85703700000000005</c:v>
                </c:pt>
                <c:pt idx="22">
                  <c:v>0.84294400000000003</c:v>
                </c:pt>
                <c:pt idx="23">
                  <c:v>0.82920400000000005</c:v>
                </c:pt>
                <c:pt idx="24">
                  <c:v>0.81580600000000003</c:v>
                </c:pt>
                <c:pt idx="25">
                  <c:v>0.80273000000000005</c:v>
                </c:pt>
                <c:pt idx="26">
                  <c:v>0.79035200000000005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20-46A4-AC02-82772F8CFBBF}"/>
            </c:ext>
          </c:extLst>
        </c:ser>
        <c:ser>
          <c:idx val="3"/>
          <c:order val="3"/>
          <c:tx>
            <c:strRef>
              <c:f>'05_LiCl_UCl3'!$F$93:$L$93</c:f>
              <c:strCache>
                <c:ptCount val="1"/>
                <c:pt idx="0">
                  <c:v>Serpent2.2.1 (set fissh) [pcc = 1]</c:v>
                </c:pt>
              </c:strCache>
            </c:strRef>
          </c:tx>
          <c:spPr>
            <a:ln w="12700" cap="rnd">
              <a:solidFill>
                <a:srgbClr val="006600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rgbClr val="006600">
                  <a:alpha val="10000"/>
                </a:srgbClr>
              </a:solidFill>
              <a:ln w="12700">
                <a:solidFill>
                  <a:srgbClr val="006600"/>
                </a:solidFill>
              </a:ln>
              <a:effectLst/>
            </c:spPr>
          </c:marker>
          <c:xVal>
            <c:numRef>
              <c:f>'05_LiCl_UCl3'!$D$95:$D$121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</c:numCache>
            </c:numRef>
          </c:xVal>
          <c:yVal>
            <c:numRef>
              <c:f>'05_LiCl_UCl3'!$F$95:$F$121</c:f>
              <c:numCache>
                <c:formatCode>0.00000</c:formatCode>
                <c:ptCount val="27"/>
                <c:pt idx="0">
                  <c:v>1.15838</c:v>
                </c:pt>
                <c:pt idx="1">
                  <c:v>1.15306</c:v>
                </c:pt>
                <c:pt idx="2">
                  <c:v>1.14761</c:v>
                </c:pt>
                <c:pt idx="3">
                  <c:v>1.1357900000000001</c:v>
                </c:pt>
                <c:pt idx="4">
                  <c:v>1.1229800000000001</c:v>
                </c:pt>
                <c:pt idx="5">
                  <c:v>1.10934</c:v>
                </c:pt>
                <c:pt idx="6">
                  <c:v>1.095</c:v>
                </c:pt>
                <c:pt idx="7">
                  <c:v>1.0798300000000001</c:v>
                </c:pt>
                <c:pt idx="8">
                  <c:v>1.0642400000000001</c:v>
                </c:pt>
                <c:pt idx="9">
                  <c:v>1.04836</c:v>
                </c:pt>
                <c:pt idx="10">
                  <c:v>1.0320100000000001</c:v>
                </c:pt>
                <c:pt idx="11">
                  <c:v>1.0155400000000001</c:v>
                </c:pt>
                <c:pt idx="12">
                  <c:v>0.99893699999999996</c:v>
                </c:pt>
                <c:pt idx="13">
                  <c:v>0.98233499999999996</c:v>
                </c:pt>
                <c:pt idx="14">
                  <c:v>0.96586700000000003</c:v>
                </c:pt>
                <c:pt idx="15">
                  <c:v>0.94953299999999996</c:v>
                </c:pt>
                <c:pt idx="16">
                  <c:v>0.93332000000000004</c:v>
                </c:pt>
                <c:pt idx="17">
                  <c:v>0.91742199999999996</c:v>
                </c:pt>
                <c:pt idx="18">
                  <c:v>0.90174200000000004</c:v>
                </c:pt>
                <c:pt idx="19">
                  <c:v>0.88649699999999998</c:v>
                </c:pt>
                <c:pt idx="20">
                  <c:v>0.87166600000000005</c:v>
                </c:pt>
                <c:pt idx="21">
                  <c:v>0.85705799999999999</c:v>
                </c:pt>
                <c:pt idx="22">
                  <c:v>0.84291499999999997</c:v>
                </c:pt>
                <c:pt idx="23">
                  <c:v>0.82928599999999997</c:v>
                </c:pt>
                <c:pt idx="24">
                  <c:v>0.81582600000000005</c:v>
                </c:pt>
                <c:pt idx="25">
                  <c:v>0.802755</c:v>
                </c:pt>
                <c:pt idx="26">
                  <c:v>0.79028799999999999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20-46A4-AC02-82772F8CF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'05_LiCl_UCl3'!$F$33:$L$33</c15:sqref>
                        </c15:formulaRef>
                      </c:ext>
                    </c:extLst>
                    <c:strCache>
                      <c:ptCount val="1"/>
                      <c:pt idx="0">
                        <c:v>Serpent2.2.1 [pcc = 1]</c:v>
                      </c:pt>
                    </c:strCache>
                  </c:strRef>
                </c:tx>
                <c:spPr>
                  <a:ln w="12700" cap="rnd">
                    <a:solidFill>
                      <a:srgbClr val="FF0000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>
                        <a:alpha val="10000"/>
                      </a:srgbClr>
                    </a:solidFill>
                    <a:ln w="12700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'05_LiCl_UCl3'!$D$35:$D$61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20</c:v>
                      </c:pt>
                      <c:pt idx="4">
                        <c:v>30</c:v>
                      </c:pt>
                      <c:pt idx="5">
                        <c:v>40</c:v>
                      </c:pt>
                      <c:pt idx="6">
                        <c:v>50</c:v>
                      </c:pt>
                      <c:pt idx="7">
                        <c:v>60</c:v>
                      </c:pt>
                      <c:pt idx="8">
                        <c:v>70</c:v>
                      </c:pt>
                      <c:pt idx="9">
                        <c:v>80</c:v>
                      </c:pt>
                      <c:pt idx="10">
                        <c:v>90</c:v>
                      </c:pt>
                      <c:pt idx="11">
                        <c:v>100</c:v>
                      </c:pt>
                      <c:pt idx="12">
                        <c:v>110</c:v>
                      </c:pt>
                      <c:pt idx="13">
                        <c:v>120</c:v>
                      </c:pt>
                      <c:pt idx="14">
                        <c:v>130</c:v>
                      </c:pt>
                      <c:pt idx="15">
                        <c:v>140</c:v>
                      </c:pt>
                      <c:pt idx="16">
                        <c:v>150</c:v>
                      </c:pt>
                      <c:pt idx="17">
                        <c:v>160</c:v>
                      </c:pt>
                      <c:pt idx="18">
                        <c:v>170</c:v>
                      </c:pt>
                      <c:pt idx="19">
                        <c:v>180</c:v>
                      </c:pt>
                      <c:pt idx="20">
                        <c:v>190</c:v>
                      </c:pt>
                      <c:pt idx="21">
                        <c:v>200</c:v>
                      </c:pt>
                      <c:pt idx="22">
                        <c:v>210</c:v>
                      </c:pt>
                      <c:pt idx="23">
                        <c:v>220</c:v>
                      </c:pt>
                      <c:pt idx="24">
                        <c:v>230</c:v>
                      </c:pt>
                      <c:pt idx="25">
                        <c:v>240</c:v>
                      </c:pt>
                      <c:pt idx="26">
                        <c:v>250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'05_LiCl_UCl3'!$F$35:$F$61</c15:sqref>
                        </c15:formulaRef>
                      </c:ext>
                    </c:extLst>
                    <c:numCache>
                      <c:formatCode>0.00000</c:formatCode>
                      <c:ptCount val="2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720-46A4-AC02-82772F8CFBBF}"/>
                  </c:ext>
                </c:extLst>
              </c15:ser>
            </c15:filteredScatterSeries>
          </c:ext>
        </c:extLst>
      </c:scatterChart>
      <c:valAx>
        <c:axId val="165962857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</c:valAx>
      <c:valAx>
        <c:axId val="1659630496"/>
        <c:scaling>
          <c:orientation val="minMax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201129301198837"/>
          <c:y val="0.61075200875197333"/>
          <c:w val="0.45009316423464213"/>
          <c:h val="0.16878875026155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381001</xdr:colOff>
      <xdr:row>0</xdr:row>
      <xdr:rowOff>67236</xdr:rowOff>
    </xdr:from>
    <xdr:to>
      <xdr:col>18</xdr:col>
      <xdr:colOff>1763</xdr:colOff>
      <xdr:row>22</xdr:row>
      <xdr:rowOff>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6D123-28D2-48AA-8B81-91944349F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476250</xdr:colOff>
      <xdr:row>68</xdr:row>
      <xdr:rowOff>19050</xdr:rowOff>
    </xdr:from>
    <xdr:to>
      <xdr:col>18</xdr:col>
      <xdr:colOff>734731</xdr:colOff>
      <xdr:row>105</xdr:row>
      <xdr:rowOff>29560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293063-62BF-488C-BD0B-49FA44AC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12973050"/>
          <a:ext cx="9354856" cy="7059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336177</xdr:colOff>
      <xdr:row>0</xdr:row>
      <xdr:rowOff>100853</xdr:rowOff>
    </xdr:from>
    <xdr:to>
      <xdr:col>17</xdr:col>
      <xdr:colOff>943056</xdr:colOff>
      <xdr:row>22</xdr:row>
      <xdr:rowOff>34180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8B226-DFFB-434E-AC63-5B8E193EB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268942</xdr:colOff>
      <xdr:row>1</xdr:row>
      <xdr:rowOff>145677</xdr:rowOff>
    </xdr:from>
    <xdr:to>
      <xdr:col>21</xdr:col>
      <xdr:colOff>550850</xdr:colOff>
      <xdr:row>23</xdr:row>
      <xdr:rowOff>79004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3D33B-0E26-4296-B684-9BFAA9B7F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268942</xdr:colOff>
      <xdr:row>1</xdr:row>
      <xdr:rowOff>145677</xdr:rowOff>
    </xdr:from>
    <xdr:to>
      <xdr:col>21</xdr:col>
      <xdr:colOff>550850</xdr:colOff>
      <xdr:row>23</xdr:row>
      <xdr:rowOff>79004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ECFC4-DAF9-4D3D-BA29-B4CD20E33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268942</xdr:colOff>
      <xdr:row>1</xdr:row>
      <xdr:rowOff>145677</xdr:rowOff>
    </xdr:from>
    <xdr:to>
      <xdr:col>21</xdr:col>
      <xdr:colOff>550850</xdr:colOff>
      <xdr:row>23</xdr:row>
      <xdr:rowOff>79004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5D00B-9FD2-4984-889C-ABA568D88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9444-8AD8-4207-B4E7-44BDEE2E6C95}">
  <dimension ref="C3:Y107"/>
  <sheetViews>
    <sheetView topLeftCell="E1" zoomScale="145" zoomScaleNormal="145" workbookViewId="0">
      <selection activeCell="R54" sqref="R54"/>
    </sheetView>
  </sheetViews>
  <sheetFormatPr defaultRowHeight="15" x14ac:dyDescent="0.25"/>
  <cols>
    <col min="1" max="3" width="9" style="2"/>
    <col min="4" max="4" width="9.75" style="2" customWidth="1"/>
    <col min="5" max="5" width="9.625" style="2" customWidth="1"/>
    <col min="6" max="6" width="10.375" style="2" customWidth="1"/>
    <col min="7" max="7" width="11.25" style="2" customWidth="1"/>
    <col min="8" max="8" width="10.75" style="2" customWidth="1"/>
    <col min="9" max="9" width="12.625" style="2" customWidth="1"/>
    <col min="10" max="10" width="16" style="2" customWidth="1"/>
    <col min="11" max="11" width="9" style="2"/>
    <col min="12" max="14" width="9.375" style="2" customWidth="1"/>
    <col min="15" max="15" width="10.5" style="2" bestFit="1" customWidth="1"/>
    <col min="16" max="16" width="11.125" style="2" customWidth="1"/>
    <col min="17" max="17" width="9.375" style="2" customWidth="1"/>
    <col min="18" max="18" width="12.875" style="2" bestFit="1" customWidth="1"/>
    <col min="19" max="19" width="12.125" style="2" customWidth="1"/>
    <col min="20" max="21" width="9" style="2"/>
    <col min="22" max="22" width="10" style="2" customWidth="1"/>
    <col min="23" max="23" width="10.25" style="2" customWidth="1"/>
    <col min="24" max="25" width="10.75" style="2" customWidth="1"/>
    <col min="26" max="26" width="11" style="2" customWidth="1"/>
    <col min="27" max="27" width="13.625" style="2" customWidth="1"/>
    <col min="28" max="28" width="11.5" style="2" customWidth="1"/>
    <col min="29" max="16384" width="9" style="2"/>
  </cols>
  <sheetData>
    <row r="3" spans="3:10" x14ac:dyDescent="0.25">
      <c r="C3" s="1" t="s">
        <v>0</v>
      </c>
    </row>
    <row r="5" spans="3:10" x14ac:dyDescent="0.25">
      <c r="C5" s="26" t="s">
        <v>1</v>
      </c>
      <c r="D5" s="27"/>
      <c r="E5" s="27"/>
      <c r="F5" s="27"/>
      <c r="G5" s="27"/>
      <c r="H5" s="27"/>
      <c r="I5" s="27"/>
      <c r="J5" s="28"/>
    </row>
    <row r="6" spans="3:10" x14ac:dyDescent="0.25"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4</v>
      </c>
      <c r="I6" s="3" t="s">
        <v>7</v>
      </c>
      <c r="J6" s="3" t="s">
        <v>5</v>
      </c>
    </row>
    <row r="7" spans="3:10" x14ac:dyDescent="0.25">
      <c r="C7" s="4">
        <v>0</v>
      </c>
      <c r="D7" s="5">
        <v>1.4080600000000001</v>
      </c>
      <c r="E7" s="6">
        <v>3.1999999999999999E-5</v>
      </c>
      <c r="F7" s="7">
        <f>E7*100000*D7</f>
        <v>4.5057919999999996</v>
      </c>
      <c r="G7" s="8">
        <v>6.8443599999999999E-3</v>
      </c>
      <c r="H7" s="6">
        <v>7.4400000000000004E-3</v>
      </c>
      <c r="I7" s="7">
        <f>G7*100000</f>
        <v>684.43600000000004</v>
      </c>
      <c r="J7" s="7">
        <f>G7*H7*100000</f>
        <v>5.0922038399999998</v>
      </c>
    </row>
    <row r="8" spans="3:10" x14ac:dyDescent="0.25">
      <c r="C8" s="4">
        <v>250</v>
      </c>
      <c r="D8" s="5">
        <v>1.40066</v>
      </c>
      <c r="E8" s="6">
        <v>3.1999999999999999E-5</v>
      </c>
      <c r="F8" s="7">
        <f t="shared" ref="F8:F22" si="0">E8*100000*D8</f>
        <v>4.4821119999999999</v>
      </c>
      <c r="G8" s="8">
        <v>6.7630900000000002E-3</v>
      </c>
      <c r="H8" s="6">
        <v>7.6099999999999996E-3</v>
      </c>
      <c r="I8" s="7">
        <f t="shared" ref="I8:I22" si="1">G8*100000</f>
        <v>676.30899999999997</v>
      </c>
      <c r="J8" s="7">
        <f t="shared" ref="J8:J22" si="2">G8*H8*100000</f>
        <v>5.1467114899999995</v>
      </c>
    </row>
    <row r="9" spans="3:10" x14ac:dyDescent="0.25">
      <c r="C9" s="4">
        <v>500</v>
      </c>
      <c r="D9" s="5">
        <v>1.3932899999999999</v>
      </c>
      <c r="E9" s="6">
        <v>3.3000000000000003E-5</v>
      </c>
      <c r="F9" s="7">
        <f t="shared" si="0"/>
        <v>4.5978570000000003</v>
      </c>
      <c r="G9" s="8">
        <v>6.6340699999999997E-3</v>
      </c>
      <c r="H9" s="6">
        <v>7.4000000000000003E-3</v>
      </c>
      <c r="I9" s="7">
        <f t="shared" si="1"/>
        <v>663.40699999999993</v>
      </c>
      <c r="J9" s="7">
        <f t="shared" si="2"/>
        <v>4.9092117999999996</v>
      </c>
    </row>
    <row r="10" spans="3:10" x14ac:dyDescent="0.25">
      <c r="C10" s="4">
        <v>1000</v>
      </c>
      <c r="D10" s="5">
        <v>1.3782300000000001</v>
      </c>
      <c r="E10" s="6">
        <v>3.4E-5</v>
      </c>
      <c r="F10" s="7">
        <f t="shared" si="0"/>
        <v>4.6859820000000001</v>
      </c>
      <c r="G10" s="8">
        <v>6.4968600000000001E-3</v>
      </c>
      <c r="H10" s="6">
        <v>7.6899999999999998E-3</v>
      </c>
      <c r="I10" s="7">
        <f t="shared" si="1"/>
        <v>649.68600000000004</v>
      </c>
      <c r="J10" s="7">
        <f t="shared" si="2"/>
        <v>4.9960853400000005</v>
      </c>
    </row>
    <row r="11" spans="3:10" x14ac:dyDescent="0.25">
      <c r="C11" s="4">
        <v>1500</v>
      </c>
      <c r="D11" s="5">
        <v>1.36266</v>
      </c>
      <c r="E11" s="6">
        <v>3.4999999999999997E-5</v>
      </c>
      <c r="F11" s="7">
        <f t="shared" si="0"/>
        <v>4.7693099999999991</v>
      </c>
      <c r="G11" s="8">
        <v>6.4070999999999998E-3</v>
      </c>
      <c r="H11" s="6">
        <v>7.8200000000000006E-3</v>
      </c>
      <c r="I11" s="7">
        <f t="shared" si="1"/>
        <v>640.70999999999992</v>
      </c>
      <c r="J11" s="7">
        <f t="shared" si="2"/>
        <v>5.0103521999999998</v>
      </c>
    </row>
    <row r="12" spans="3:10" x14ac:dyDescent="0.25">
      <c r="C12" s="4">
        <v>2000</v>
      </c>
      <c r="D12" s="5">
        <v>1.34683</v>
      </c>
      <c r="E12" s="6">
        <v>3.6000000000000001E-5</v>
      </c>
      <c r="F12" s="7">
        <f t="shared" si="0"/>
        <v>4.8485880000000003</v>
      </c>
      <c r="G12" s="8">
        <v>6.2336300000000004E-3</v>
      </c>
      <c r="H12" s="6">
        <v>7.8899999999999994E-3</v>
      </c>
      <c r="I12" s="7">
        <f t="shared" si="1"/>
        <v>623.36300000000006</v>
      </c>
      <c r="J12" s="7">
        <f t="shared" si="2"/>
        <v>4.9183340700000002</v>
      </c>
    </row>
    <row r="13" spans="3:10" x14ac:dyDescent="0.25">
      <c r="C13" s="4">
        <v>2500</v>
      </c>
      <c r="D13" s="5">
        <v>1.33067</v>
      </c>
      <c r="E13" s="6">
        <v>3.6999999999999998E-5</v>
      </c>
      <c r="F13" s="7">
        <f t="shared" si="0"/>
        <v>4.9234789999999995</v>
      </c>
      <c r="G13" s="8">
        <v>6.0921600000000001E-3</v>
      </c>
      <c r="H13" s="6">
        <v>8.2900000000000005E-3</v>
      </c>
      <c r="I13" s="7">
        <f t="shared" si="1"/>
        <v>609.21600000000001</v>
      </c>
      <c r="J13" s="7">
        <f t="shared" si="2"/>
        <v>5.0504006400000003</v>
      </c>
    </row>
    <row r="14" spans="3:10" x14ac:dyDescent="0.25">
      <c r="C14" s="4">
        <v>3000</v>
      </c>
      <c r="D14" s="5">
        <v>1.3141499999999999</v>
      </c>
      <c r="E14" s="6">
        <v>3.8999999999999999E-5</v>
      </c>
      <c r="F14" s="7">
        <f t="shared" si="0"/>
        <v>5.1251849999999992</v>
      </c>
      <c r="G14" s="8">
        <v>5.8930299999999996E-3</v>
      </c>
      <c r="H14" s="6">
        <v>8.4600000000000005E-3</v>
      </c>
      <c r="I14" s="7">
        <f t="shared" si="1"/>
        <v>589.303</v>
      </c>
      <c r="J14" s="7">
        <f t="shared" si="2"/>
        <v>4.9855033799999999</v>
      </c>
    </row>
    <row r="15" spans="3:10" x14ac:dyDescent="0.25">
      <c r="C15" s="4">
        <v>3500</v>
      </c>
      <c r="D15" s="5">
        <v>1.2973699999999999</v>
      </c>
      <c r="E15" s="6">
        <v>4.0000000000000003E-5</v>
      </c>
      <c r="F15" s="7">
        <f t="shared" si="0"/>
        <v>5.1894799999999996</v>
      </c>
      <c r="G15" s="8">
        <v>5.7215900000000004E-3</v>
      </c>
      <c r="H15" s="6">
        <v>8.7500000000000008E-3</v>
      </c>
      <c r="I15" s="7">
        <f t="shared" si="1"/>
        <v>572.15899999999999</v>
      </c>
      <c r="J15" s="7">
        <f t="shared" si="2"/>
        <v>5.006391250000001</v>
      </c>
    </row>
    <row r="16" spans="3:10" x14ac:dyDescent="0.25">
      <c r="C16" s="4">
        <v>4000</v>
      </c>
      <c r="D16" s="5">
        <v>1.28061</v>
      </c>
      <c r="E16" s="6">
        <v>4.1E-5</v>
      </c>
      <c r="F16" s="7">
        <f t="shared" si="0"/>
        <v>5.2505009999999999</v>
      </c>
      <c r="G16" s="8">
        <v>5.5733800000000002E-3</v>
      </c>
      <c r="H16" s="6">
        <v>8.9800000000000001E-3</v>
      </c>
      <c r="I16" s="7">
        <f t="shared" si="1"/>
        <v>557.33799999999997</v>
      </c>
      <c r="J16" s="7">
        <f t="shared" si="2"/>
        <v>5.0048952400000006</v>
      </c>
    </row>
    <row r="17" spans="3:25" x14ac:dyDescent="0.25">
      <c r="C17" s="4">
        <v>4500</v>
      </c>
      <c r="D17" s="5">
        <v>1.26359</v>
      </c>
      <c r="E17" s="6">
        <v>4.3000000000000002E-5</v>
      </c>
      <c r="F17" s="7">
        <f t="shared" si="0"/>
        <v>5.4334369999999996</v>
      </c>
      <c r="G17" s="8">
        <v>5.5532200000000002E-3</v>
      </c>
      <c r="H17" s="6">
        <v>9.2300000000000004E-3</v>
      </c>
      <c r="I17" s="7">
        <f t="shared" si="1"/>
        <v>555.322</v>
      </c>
      <c r="J17" s="7">
        <f t="shared" si="2"/>
        <v>5.1256220600000004</v>
      </c>
    </row>
    <row r="18" spans="3:25" x14ac:dyDescent="0.25">
      <c r="C18" s="4">
        <v>5000</v>
      </c>
      <c r="D18" s="5">
        <v>1.2467200000000001</v>
      </c>
      <c r="E18" s="8">
        <v>4.3999999999999999E-5</v>
      </c>
      <c r="F18" s="7">
        <f t="shared" si="0"/>
        <v>5.4855679999999998</v>
      </c>
      <c r="G18" s="8">
        <v>5.3355E-3</v>
      </c>
      <c r="H18" s="6">
        <v>9.5099999999999994E-3</v>
      </c>
      <c r="I18" s="7">
        <f t="shared" si="1"/>
        <v>533.54999999999995</v>
      </c>
      <c r="J18" s="7">
        <f t="shared" si="2"/>
        <v>5.074060499999999</v>
      </c>
    </row>
    <row r="19" spans="3:25" x14ac:dyDescent="0.25">
      <c r="C19" s="4">
        <v>5500</v>
      </c>
      <c r="D19" s="5">
        <v>1.2298899999999999</v>
      </c>
      <c r="E19" s="8">
        <v>4.6999999999999997E-5</v>
      </c>
      <c r="F19" s="7">
        <f t="shared" si="0"/>
        <v>5.7804829999999985</v>
      </c>
      <c r="G19" s="8">
        <v>5.1463899999999998E-3</v>
      </c>
      <c r="H19" s="6">
        <v>9.9500000000000005E-3</v>
      </c>
      <c r="I19" s="7">
        <f t="shared" si="1"/>
        <v>514.63900000000001</v>
      </c>
      <c r="J19" s="7">
        <f t="shared" si="2"/>
        <v>5.1206580500000003</v>
      </c>
    </row>
    <row r="20" spans="3:25" x14ac:dyDescent="0.25">
      <c r="C20" s="4">
        <v>6000</v>
      </c>
      <c r="D20" s="5">
        <v>1.2133</v>
      </c>
      <c r="E20" s="8">
        <v>4.8000000000000001E-5</v>
      </c>
      <c r="F20" s="7">
        <f t="shared" si="0"/>
        <v>5.8238399999999997</v>
      </c>
      <c r="G20" s="8">
        <v>5.0154600000000002E-3</v>
      </c>
      <c r="H20" s="6">
        <v>1.03E-2</v>
      </c>
      <c r="I20" s="7">
        <f t="shared" si="1"/>
        <v>501.54600000000005</v>
      </c>
      <c r="J20" s="7">
        <f t="shared" si="2"/>
        <v>5.1659238000000007</v>
      </c>
    </row>
    <row r="21" spans="3:25" x14ac:dyDescent="0.25">
      <c r="C21" s="4">
        <v>6500</v>
      </c>
      <c r="D21" s="5">
        <v>1.1969399999999999</v>
      </c>
      <c r="E21" s="8">
        <v>5.0000000000000002E-5</v>
      </c>
      <c r="F21" s="7">
        <f t="shared" si="0"/>
        <v>5.9846999999999992</v>
      </c>
      <c r="G21" s="8">
        <v>4.83031E-3</v>
      </c>
      <c r="H21" s="6">
        <v>1.0370000000000001E-2</v>
      </c>
      <c r="I21" s="7">
        <f t="shared" si="1"/>
        <v>483.03100000000001</v>
      </c>
      <c r="J21" s="7">
        <f t="shared" si="2"/>
        <v>5.00903147</v>
      </c>
    </row>
    <row r="22" spans="3:25" x14ac:dyDescent="0.25">
      <c r="C22" s="4">
        <v>7000</v>
      </c>
      <c r="D22" s="5">
        <v>1.18083</v>
      </c>
      <c r="E22" s="8">
        <v>5.1E-5</v>
      </c>
      <c r="F22" s="7">
        <f t="shared" si="0"/>
        <v>6.0222329999999999</v>
      </c>
      <c r="G22" s="8">
        <v>4.7497299999999998E-3</v>
      </c>
      <c r="H22" s="6">
        <v>1.076E-2</v>
      </c>
      <c r="I22" s="7">
        <f t="shared" si="1"/>
        <v>474.97299999999996</v>
      </c>
      <c r="J22" s="7">
        <f t="shared" si="2"/>
        <v>5.1107094799999997</v>
      </c>
    </row>
    <row r="24" spans="3:25" x14ac:dyDescent="0.25">
      <c r="C24" s="26" t="s">
        <v>8</v>
      </c>
      <c r="D24" s="27"/>
      <c r="E24" s="27"/>
      <c r="F24" s="27"/>
      <c r="G24" s="27"/>
      <c r="H24" s="27"/>
      <c r="I24" s="27"/>
      <c r="J24" s="28"/>
      <c r="L24" s="25" t="s">
        <v>9</v>
      </c>
      <c r="M24" s="23" t="s">
        <v>10</v>
      </c>
      <c r="O24" s="26" t="s">
        <v>11</v>
      </c>
      <c r="P24" s="27"/>
      <c r="Q24" s="27"/>
      <c r="R24" s="27"/>
      <c r="S24" s="27"/>
      <c r="T24" s="27"/>
      <c r="U24" s="27"/>
      <c r="V24" s="28"/>
      <c r="X24" s="25" t="s">
        <v>9</v>
      </c>
      <c r="Y24" s="23" t="s">
        <v>10</v>
      </c>
    </row>
    <row r="25" spans="3:25" x14ac:dyDescent="0.25"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4</v>
      </c>
      <c r="I25" s="3" t="s">
        <v>7</v>
      </c>
      <c r="J25" s="3" t="s">
        <v>5</v>
      </c>
      <c r="L25" s="25"/>
      <c r="M25" s="23"/>
      <c r="O25" s="3" t="s">
        <v>2</v>
      </c>
      <c r="P25" s="3" t="s">
        <v>3</v>
      </c>
      <c r="Q25" s="3" t="s">
        <v>4</v>
      </c>
      <c r="R25" s="3" t="s">
        <v>5</v>
      </c>
      <c r="S25" s="3" t="s">
        <v>6</v>
      </c>
      <c r="T25" s="3" t="s">
        <v>4</v>
      </c>
      <c r="U25" s="3" t="s">
        <v>7</v>
      </c>
      <c r="V25" s="3" t="s">
        <v>5</v>
      </c>
      <c r="X25" s="25"/>
      <c r="Y25" s="23"/>
    </row>
    <row r="26" spans="3:25" x14ac:dyDescent="0.25">
      <c r="C26" s="4">
        <v>0</v>
      </c>
      <c r="D26" s="5">
        <v>1.40798</v>
      </c>
      <c r="E26" s="6">
        <v>3.1000000000000001E-5</v>
      </c>
      <c r="F26" s="7">
        <f>E26*100000*D26</f>
        <v>4.364738</v>
      </c>
      <c r="G26" s="8">
        <v>6.8232900000000001E-3</v>
      </c>
      <c r="H26" s="6">
        <v>7.3400000000000002E-3</v>
      </c>
      <c r="I26" s="7">
        <f>G26*100000</f>
        <v>682.32900000000006</v>
      </c>
      <c r="J26" s="7">
        <f>G26*H26*100000</f>
        <v>5.0082948600000003</v>
      </c>
      <c r="L26" s="7">
        <f>(1/D7-1/D26)*100000</f>
        <v>-4.0352675955701578</v>
      </c>
      <c r="M26" s="7">
        <f>SQRT(1/D26^4*F26^2+1/D7^4*F7^2)*2</f>
        <v>6.3285036722372521</v>
      </c>
      <c r="O26" s="4">
        <v>0</v>
      </c>
      <c r="P26" s="5">
        <v>1.40801</v>
      </c>
      <c r="Q26" s="6">
        <v>3.1000000000000001E-5</v>
      </c>
      <c r="R26" s="7">
        <f>Q26*100000*P26</f>
        <v>4.3648309999999997</v>
      </c>
      <c r="S26" s="8">
        <v>6.8519200000000001E-3</v>
      </c>
      <c r="T26" s="6">
        <v>7.4599999999999996E-3</v>
      </c>
      <c r="U26" s="7">
        <f>S26*100000</f>
        <v>685.19200000000001</v>
      </c>
      <c r="V26" s="7">
        <f>S26*T26*100000</f>
        <v>5.1115323200000002</v>
      </c>
      <c r="X26" s="7">
        <f>(1/D7-1/P26)*100000</f>
        <v>-2.521988510917339</v>
      </c>
      <c r="Y26" s="7">
        <f>SQRT(1/P26^4*R26^2+1/D7^4*F7^2)*2</f>
        <v>6.3284383888770774</v>
      </c>
    </row>
    <row r="27" spans="3:25" x14ac:dyDescent="0.25">
      <c r="C27" s="4">
        <v>250</v>
      </c>
      <c r="D27" s="5">
        <v>1.4006099999999999</v>
      </c>
      <c r="E27" s="6">
        <v>3.1000000000000001E-5</v>
      </c>
      <c r="F27" s="7">
        <f t="shared" ref="F27:F41" si="3">E27*100000*D27</f>
        <v>4.3418909999999995</v>
      </c>
      <c r="G27" s="8">
        <v>6.7511799999999999E-3</v>
      </c>
      <c r="H27" s="6">
        <v>7.4000000000000003E-3</v>
      </c>
      <c r="I27" s="7">
        <f t="shared" ref="I27:I41" si="4">G27*100000</f>
        <v>675.11799999999994</v>
      </c>
      <c r="J27" s="7">
        <f t="shared" ref="J27:J41" si="5">G27*H27*100000</f>
        <v>4.9958732000000001</v>
      </c>
      <c r="L27" s="7">
        <f t="shared" ref="L27:L41" si="6">(1/D8-1/D27)*100000</f>
        <v>-2.5487078425312504</v>
      </c>
      <c r="M27" s="7">
        <f t="shared" ref="M27:M41" si="7">SQRT(1/D27^4*F27^2+1/D8^4*F8^2)*2</f>
        <v>6.3618735219368343</v>
      </c>
      <c r="O27" s="4">
        <v>250</v>
      </c>
      <c r="P27" s="5">
        <v>1.40076</v>
      </c>
      <c r="Q27" s="6">
        <v>3.1999999999999999E-5</v>
      </c>
      <c r="R27" s="7">
        <f t="shared" ref="R27:R41" si="8">Q27*100000*P27</f>
        <v>4.4824319999999993</v>
      </c>
      <c r="S27" s="8">
        <v>6.6793800000000004E-3</v>
      </c>
      <c r="T27" s="6">
        <v>7.5700000000000003E-3</v>
      </c>
      <c r="U27" s="7">
        <f t="shared" ref="U27:U41" si="9">S27*100000</f>
        <v>667.93799999999999</v>
      </c>
      <c r="V27" s="7">
        <f t="shared" ref="V27:V41" si="10">S27*T27*100000</f>
        <v>5.0562906600000002</v>
      </c>
      <c r="X27" s="7">
        <f t="shared" ref="X27:X41" si="11">(1/D8-1/P27)*100000</f>
        <v>5.0968698296904869</v>
      </c>
      <c r="Y27" s="7">
        <f t="shared" ref="Y27:Y41" si="12">SQRT(1/P27^4*R27^2+1/D8^4*F8^2)*2</f>
        <v>6.4616992928494525</v>
      </c>
    </row>
    <row r="28" spans="3:25" x14ac:dyDescent="0.25">
      <c r="C28" s="4">
        <v>500</v>
      </c>
      <c r="D28" s="5">
        <v>1.3932800000000001</v>
      </c>
      <c r="E28" s="6">
        <v>3.1999999999999999E-5</v>
      </c>
      <c r="F28" s="7">
        <f t="shared" si="3"/>
        <v>4.4584960000000002</v>
      </c>
      <c r="G28" s="8">
        <v>6.6018800000000001E-3</v>
      </c>
      <c r="H28" s="6">
        <v>7.45E-3</v>
      </c>
      <c r="I28" s="7">
        <f t="shared" si="4"/>
        <v>660.18799999999999</v>
      </c>
      <c r="J28" s="7">
        <f t="shared" si="5"/>
        <v>4.9184006</v>
      </c>
      <c r="L28" s="7">
        <f t="shared" si="6"/>
        <v>-0.51513383589885109</v>
      </c>
      <c r="M28" s="7">
        <f t="shared" si="7"/>
        <v>6.5984166433468978</v>
      </c>
      <c r="O28" s="4">
        <v>500</v>
      </c>
      <c r="P28" s="5">
        <v>1.3934500000000001</v>
      </c>
      <c r="Q28" s="6">
        <v>3.4E-5</v>
      </c>
      <c r="R28" s="7">
        <f t="shared" si="8"/>
        <v>4.73773</v>
      </c>
      <c r="S28" s="8">
        <v>6.6412900000000002E-3</v>
      </c>
      <c r="T28" s="6">
        <v>7.5799999999999999E-3</v>
      </c>
      <c r="U28" s="7">
        <f t="shared" si="9"/>
        <v>664.12900000000002</v>
      </c>
      <c r="V28" s="7">
        <f t="shared" si="10"/>
        <v>5.0340978200000004</v>
      </c>
      <c r="X28" s="7">
        <f t="shared" si="11"/>
        <v>8.241135838615854</v>
      </c>
      <c r="Y28" s="7">
        <f t="shared" si="12"/>
        <v>6.8009717459769217</v>
      </c>
    </row>
    <row r="29" spans="3:25" x14ac:dyDescent="0.25">
      <c r="C29" s="4">
        <v>1000</v>
      </c>
      <c r="D29" s="5">
        <v>1.37822</v>
      </c>
      <c r="E29" s="6">
        <v>3.4E-5</v>
      </c>
      <c r="F29" s="7">
        <f t="shared" si="3"/>
        <v>4.6859479999999998</v>
      </c>
      <c r="G29" s="8">
        <v>6.5519999999999997E-3</v>
      </c>
      <c r="H29" s="6">
        <v>7.6400000000000001E-3</v>
      </c>
      <c r="I29" s="7">
        <f t="shared" si="4"/>
        <v>655.19999999999993</v>
      </c>
      <c r="J29" s="7">
        <f t="shared" si="5"/>
        <v>5.0057279999999995</v>
      </c>
      <c r="L29" s="7">
        <f t="shared" si="6"/>
        <v>-0.52645317973887273</v>
      </c>
      <c r="M29" s="7">
        <f t="shared" si="7"/>
        <v>6.9775633327844853</v>
      </c>
      <c r="O29" s="4">
        <v>1000</v>
      </c>
      <c r="P29" s="5">
        <v>1.37829</v>
      </c>
      <c r="Q29" s="6">
        <v>3.4999999999999997E-5</v>
      </c>
      <c r="R29" s="7">
        <f t="shared" si="8"/>
        <v>4.8240149999999993</v>
      </c>
      <c r="S29" s="8">
        <v>6.5275100000000003E-3</v>
      </c>
      <c r="T29" s="6">
        <v>7.6899999999999998E-3</v>
      </c>
      <c r="U29" s="7">
        <f t="shared" si="9"/>
        <v>652.75099999999998</v>
      </c>
      <c r="V29" s="7">
        <f t="shared" si="10"/>
        <v>5.0196551899999999</v>
      </c>
      <c r="X29" s="7">
        <f t="shared" si="11"/>
        <v>3.1585586547366873</v>
      </c>
      <c r="Y29" s="7">
        <f t="shared" si="12"/>
        <v>7.0807338020892745</v>
      </c>
    </row>
    <row r="30" spans="3:25" x14ac:dyDescent="0.25">
      <c r="C30" s="4">
        <v>1500</v>
      </c>
      <c r="D30" s="5">
        <v>1.36283</v>
      </c>
      <c r="E30" s="6">
        <v>3.4999999999999997E-5</v>
      </c>
      <c r="F30" s="7">
        <f t="shared" si="3"/>
        <v>4.7699049999999996</v>
      </c>
      <c r="G30" s="8">
        <v>6.34426E-3</v>
      </c>
      <c r="H30" s="6">
        <v>7.7600000000000004E-3</v>
      </c>
      <c r="I30" s="7">
        <f t="shared" si="4"/>
        <v>634.42600000000004</v>
      </c>
      <c r="J30" s="7">
        <f t="shared" si="5"/>
        <v>4.9231457600000006</v>
      </c>
      <c r="L30" s="7">
        <f t="shared" si="6"/>
        <v>9.1541859187804775</v>
      </c>
      <c r="M30" s="7">
        <f t="shared" si="7"/>
        <v>7.26437814439464</v>
      </c>
      <c r="O30" s="4">
        <v>1500</v>
      </c>
      <c r="P30" s="5">
        <v>1.3628800000000001</v>
      </c>
      <c r="Q30" s="6">
        <v>3.6000000000000001E-5</v>
      </c>
      <c r="R30" s="7">
        <f t="shared" si="8"/>
        <v>4.9063680000000005</v>
      </c>
      <c r="S30" s="8">
        <v>6.47469E-3</v>
      </c>
      <c r="T30" s="6">
        <v>7.7299999999999999E-3</v>
      </c>
      <c r="U30" s="7">
        <f t="shared" si="9"/>
        <v>647.46900000000005</v>
      </c>
      <c r="V30" s="7">
        <f t="shared" si="10"/>
        <v>5.0049353700000001</v>
      </c>
      <c r="X30" s="7">
        <f t="shared" si="11"/>
        <v>11.846158925798989</v>
      </c>
      <c r="Y30" s="7">
        <f t="shared" si="12"/>
        <v>7.3687338570714962</v>
      </c>
    </row>
    <row r="31" spans="3:25" x14ac:dyDescent="0.25">
      <c r="C31" s="4">
        <v>2000</v>
      </c>
      <c r="D31" s="5">
        <v>1.34694</v>
      </c>
      <c r="E31" s="6">
        <v>3.6000000000000001E-5</v>
      </c>
      <c r="F31" s="7">
        <f t="shared" si="3"/>
        <v>4.8489840000000006</v>
      </c>
      <c r="G31" s="8">
        <v>6.1961300000000002E-3</v>
      </c>
      <c r="H31" s="6">
        <v>8.0400000000000003E-3</v>
      </c>
      <c r="I31" s="7">
        <f t="shared" si="4"/>
        <v>619.61300000000006</v>
      </c>
      <c r="J31" s="7">
        <f t="shared" si="5"/>
        <v>4.9816885200000005</v>
      </c>
      <c r="L31" s="7">
        <f t="shared" si="6"/>
        <v>6.0636154840865153</v>
      </c>
      <c r="M31" s="7">
        <f t="shared" si="7"/>
        <v>7.5599161580645493</v>
      </c>
      <c r="O31" s="4">
        <v>2000</v>
      </c>
      <c r="P31" s="5">
        <v>1.3469500000000001</v>
      </c>
      <c r="Q31" s="6">
        <v>3.6999999999999998E-5</v>
      </c>
      <c r="R31" s="7">
        <f t="shared" si="8"/>
        <v>4.9837150000000001</v>
      </c>
      <c r="S31" s="8">
        <v>6.2961299999999996E-3</v>
      </c>
      <c r="T31" s="6">
        <v>8.0300000000000007E-3</v>
      </c>
      <c r="U31" s="7">
        <f t="shared" si="9"/>
        <v>629.61299999999994</v>
      </c>
      <c r="V31" s="7">
        <f t="shared" si="10"/>
        <v>5.0557923899999997</v>
      </c>
      <c r="X31" s="7">
        <f t="shared" si="11"/>
        <v>6.6148041455105222</v>
      </c>
      <c r="Y31" s="7">
        <f t="shared" si="12"/>
        <v>7.6655963229412478</v>
      </c>
    </row>
    <row r="32" spans="3:25" x14ac:dyDescent="0.25">
      <c r="C32" s="4">
        <v>2500</v>
      </c>
      <c r="D32" s="5">
        <v>1.33064</v>
      </c>
      <c r="E32" s="6">
        <v>3.6999999999999998E-5</v>
      </c>
      <c r="F32" s="7">
        <f t="shared" si="3"/>
        <v>4.923368</v>
      </c>
      <c r="G32" s="8">
        <v>6.1279500000000001E-3</v>
      </c>
      <c r="H32" s="6">
        <v>8.3000000000000001E-3</v>
      </c>
      <c r="I32" s="7">
        <f t="shared" si="4"/>
        <v>612.79499999999996</v>
      </c>
      <c r="J32" s="7">
        <f t="shared" si="5"/>
        <v>5.0861985000000001</v>
      </c>
      <c r="L32" s="7">
        <f t="shared" si="6"/>
        <v>-1.6943000138880393</v>
      </c>
      <c r="M32" s="7">
        <f t="shared" si="7"/>
        <v>7.8646834555580956</v>
      </c>
      <c r="O32" s="4">
        <v>2500</v>
      </c>
      <c r="P32" s="5">
        <v>1.33074</v>
      </c>
      <c r="Q32" s="6">
        <v>3.6999999999999998E-5</v>
      </c>
      <c r="R32" s="7">
        <f t="shared" si="8"/>
        <v>4.9237380000000002</v>
      </c>
      <c r="S32" s="8">
        <v>6.0540100000000003E-3</v>
      </c>
      <c r="T32" s="6">
        <v>8.2400000000000008E-3</v>
      </c>
      <c r="U32" s="7">
        <f t="shared" si="9"/>
        <v>605.40100000000007</v>
      </c>
      <c r="V32" s="7">
        <f t="shared" si="10"/>
        <v>4.988504240000001</v>
      </c>
      <c r="X32" s="7">
        <f t="shared" si="11"/>
        <v>3.9530696187561887</v>
      </c>
      <c r="Y32" s="7">
        <f t="shared" si="12"/>
        <v>7.8643879540697741</v>
      </c>
    </row>
    <row r="33" spans="3:25" x14ac:dyDescent="0.25">
      <c r="C33" s="4">
        <v>3000</v>
      </c>
      <c r="D33" s="5">
        <v>1.31409</v>
      </c>
      <c r="E33" s="6">
        <v>3.8999999999999999E-5</v>
      </c>
      <c r="F33" s="7">
        <f t="shared" si="3"/>
        <v>5.1249509999999994</v>
      </c>
      <c r="G33" s="8">
        <v>5.9317600000000003E-3</v>
      </c>
      <c r="H33" s="6">
        <v>8.6099999999999996E-3</v>
      </c>
      <c r="I33" s="7">
        <f t="shared" si="4"/>
        <v>593.17600000000004</v>
      </c>
      <c r="J33" s="7">
        <f t="shared" si="5"/>
        <v>5.1072453600000003</v>
      </c>
      <c r="L33" s="7">
        <f t="shared" si="6"/>
        <v>-3.4744110740558831</v>
      </c>
      <c r="M33" s="7">
        <f t="shared" si="7"/>
        <v>8.3941084491016316</v>
      </c>
      <c r="O33" s="4">
        <v>3000</v>
      </c>
      <c r="P33" s="5">
        <v>1.3142100000000001</v>
      </c>
      <c r="Q33" s="6">
        <v>3.8999999999999999E-5</v>
      </c>
      <c r="R33" s="7">
        <f t="shared" si="8"/>
        <v>5.1254189999999999</v>
      </c>
      <c r="S33" s="8">
        <v>5.9541799999999999E-3</v>
      </c>
      <c r="T33" s="6">
        <v>8.5199999999999998E-3</v>
      </c>
      <c r="U33" s="7">
        <f t="shared" si="9"/>
        <v>595.41800000000001</v>
      </c>
      <c r="V33" s="7">
        <f t="shared" si="10"/>
        <v>5.0729613599999999</v>
      </c>
      <c r="X33" s="7">
        <f t="shared" si="11"/>
        <v>3.4740938269495203</v>
      </c>
      <c r="Y33" s="7">
        <f t="shared" si="12"/>
        <v>8.3937252089764343</v>
      </c>
    </row>
    <row r="34" spans="3:25" x14ac:dyDescent="0.25">
      <c r="C34" s="4">
        <v>3500</v>
      </c>
      <c r="D34" s="5">
        <v>1.29738</v>
      </c>
      <c r="E34" s="6">
        <v>4.1999999999999998E-5</v>
      </c>
      <c r="F34" s="7">
        <f t="shared" si="3"/>
        <v>5.4489960000000002</v>
      </c>
      <c r="G34" s="8">
        <v>5.8068800000000004E-3</v>
      </c>
      <c r="H34" s="6">
        <v>8.7600000000000004E-3</v>
      </c>
      <c r="I34" s="7">
        <f t="shared" si="4"/>
        <v>580.68799999999999</v>
      </c>
      <c r="J34" s="7">
        <f t="shared" si="5"/>
        <v>5.0868268800000012</v>
      </c>
      <c r="L34" s="7">
        <f t="shared" si="6"/>
        <v>0.59411285588950591</v>
      </c>
      <c r="M34" s="7">
        <f t="shared" si="7"/>
        <v>8.9411294504604104</v>
      </c>
      <c r="O34" s="4">
        <v>3500</v>
      </c>
      <c r="P34" s="5">
        <v>1.29741</v>
      </c>
      <c r="Q34" s="6">
        <v>4.0000000000000003E-5</v>
      </c>
      <c r="R34" s="7">
        <f t="shared" si="8"/>
        <v>5.1896399999999998</v>
      </c>
      <c r="S34" s="8">
        <v>5.7719399999999997E-3</v>
      </c>
      <c r="T34" s="6">
        <v>8.7100000000000007E-3</v>
      </c>
      <c r="U34" s="7">
        <f t="shared" si="9"/>
        <v>577.19399999999996</v>
      </c>
      <c r="V34" s="7">
        <f t="shared" si="10"/>
        <v>5.0273597400000005</v>
      </c>
      <c r="X34" s="7">
        <f t="shared" si="11"/>
        <v>2.3763964728806819</v>
      </c>
      <c r="Y34" s="7">
        <f t="shared" si="12"/>
        <v>8.7203604953157026</v>
      </c>
    </row>
    <row r="35" spans="3:25" x14ac:dyDescent="0.25">
      <c r="C35" s="4">
        <v>4000</v>
      </c>
      <c r="D35" s="5">
        <v>1.2804899999999999</v>
      </c>
      <c r="E35" s="6">
        <v>4.1999999999999998E-5</v>
      </c>
      <c r="F35" s="7">
        <f t="shared" si="3"/>
        <v>5.3780580000000002</v>
      </c>
      <c r="G35" s="8">
        <v>5.5868599999999999E-3</v>
      </c>
      <c r="H35" s="6">
        <v>9.0100000000000006E-3</v>
      </c>
      <c r="I35" s="7">
        <f t="shared" si="4"/>
        <v>558.68600000000004</v>
      </c>
      <c r="J35" s="7">
        <f t="shared" si="5"/>
        <v>5.0337608600000001</v>
      </c>
      <c r="L35" s="7">
        <f t="shared" si="6"/>
        <v>-7.3179285701052699</v>
      </c>
      <c r="M35" s="7">
        <f t="shared" si="7"/>
        <v>9.1670280449092676</v>
      </c>
      <c r="O35" s="4">
        <v>4000</v>
      </c>
      <c r="P35" s="5">
        <v>1.2806299999999999</v>
      </c>
      <c r="Q35" s="6">
        <v>4.1E-5</v>
      </c>
      <c r="R35" s="7">
        <f t="shared" si="8"/>
        <v>5.2505829999999989</v>
      </c>
      <c r="S35" s="8">
        <v>5.6387800000000004E-3</v>
      </c>
      <c r="T35" s="6">
        <v>9.0900000000000009E-3</v>
      </c>
      <c r="U35" s="7">
        <f t="shared" si="9"/>
        <v>563.87800000000004</v>
      </c>
      <c r="V35" s="7">
        <f t="shared" si="10"/>
        <v>5.1256510200000012</v>
      </c>
      <c r="X35" s="7">
        <f t="shared" si="11"/>
        <v>1.2195214275645405</v>
      </c>
      <c r="Y35" s="7">
        <f t="shared" si="12"/>
        <v>9.0554194160016603</v>
      </c>
    </row>
    <row r="36" spans="3:25" x14ac:dyDescent="0.25">
      <c r="C36" s="4">
        <v>4500</v>
      </c>
      <c r="D36" s="5">
        <v>1.26363</v>
      </c>
      <c r="E36" s="6">
        <v>4.3000000000000002E-5</v>
      </c>
      <c r="F36" s="7">
        <f t="shared" si="3"/>
        <v>5.4336089999999997</v>
      </c>
      <c r="G36" s="8">
        <v>5.4883299999999996E-3</v>
      </c>
      <c r="H36" s="6">
        <v>9.2300000000000004E-3</v>
      </c>
      <c r="I36" s="7">
        <f t="shared" si="4"/>
        <v>548.83299999999997</v>
      </c>
      <c r="J36" s="7">
        <f t="shared" si="5"/>
        <v>5.06572859</v>
      </c>
      <c r="L36" s="7">
        <f t="shared" si="6"/>
        <v>2.5051508536710898</v>
      </c>
      <c r="M36" s="7">
        <f t="shared" si="7"/>
        <v>9.6249923955800067</v>
      </c>
      <c r="O36" s="4">
        <v>4500</v>
      </c>
      <c r="P36" s="5">
        <v>1.2637799999999999</v>
      </c>
      <c r="Q36" s="6">
        <v>4.3000000000000002E-5</v>
      </c>
      <c r="R36" s="7">
        <f t="shared" si="8"/>
        <v>5.4342539999999993</v>
      </c>
      <c r="S36" s="8">
        <v>5.4769299999999996E-3</v>
      </c>
      <c r="T36" s="6">
        <v>9.1500000000000001E-3</v>
      </c>
      <c r="U36" s="7">
        <f t="shared" si="9"/>
        <v>547.69299999999998</v>
      </c>
      <c r="V36" s="7">
        <f t="shared" si="10"/>
        <v>5.01139095</v>
      </c>
      <c r="X36" s="7">
        <f t="shared" si="11"/>
        <v>11.89805418885248</v>
      </c>
      <c r="Y36" s="7">
        <f t="shared" si="12"/>
        <v>9.6244212280056498</v>
      </c>
    </row>
    <row r="37" spans="3:25" x14ac:dyDescent="0.25">
      <c r="C37" s="4">
        <v>5000</v>
      </c>
      <c r="D37" s="5">
        <v>1.2466699999999999</v>
      </c>
      <c r="E37" s="8">
        <v>4.5000000000000003E-5</v>
      </c>
      <c r="F37" s="7">
        <f t="shared" si="3"/>
        <v>5.6100149999999998</v>
      </c>
      <c r="G37" s="8">
        <v>5.4376900000000002E-3</v>
      </c>
      <c r="H37" s="6">
        <v>9.5099999999999994E-3</v>
      </c>
      <c r="I37" s="7">
        <f t="shared" si="4"/>
        <v>543.76900000000001</v>
      </c>
      <c r="J37" s="7">
        <f t="shared" si="5"/>
        <v>5.1712431900000002</v>
      </c>
      <c r="L37" s="7">
        <f t="shared" si="6"/>
        <v>-3.2169889497390969</v>
      </c>
      <c r="M37" s="7">
        <f t="shared" si="7"/>
        <v>10.096535929903846</v>
      </c>
      <c r="O37" s="4">
        <v>5000</v>
      </c>
      <c r="P37" s="5">
        <v>1.2468600000000001</v>
      </c>
      <c r="Q37" s="8">
        <v>4.5000000000000003E-5</v>
      </c>
      <c r="R37" s="7">
        <f t="shared" si="8"/>
        <v>5.6108700000000002</v>
      </c>
      <c r="S37" s="8">
        <v>5.3295E-3</v>
      </c>
      <c r="T37" s="6">
        <v>9.5300000000000003E-3</v>
      </c>
      <c r="U37" s="7">
        <f t="shared" si="9"/>
        <v>532.95000000000005</v>
      </c>
      <c r="V37" s="7">
        <f t="shared" si="10"/>
        <v>5.0790135000000003</v>
      </c>
      <c r="X37" s="7">
        <f t="shared" si="11"/>
        <v>9.0061964607923706</v>
      </c>
      <c r="Y37" s="7">
        <f t="shared" si="12"/>
        <v>10.095749374460945</v>
      </c>
    </row>
    <row r="38" spans="3:25" x14ac:dyDescent="0.25">
      <c r="C38" s="4">
        <v>5500</v>
      </c>
      <c r="D38" s="5">
        <v>1.2298</v>
      </c>
      <c r="E38" s="8">
        <v>4.6999999999999997E-5</v>
      </c>
      <c r="F38" s="7">
        <f t="shared" si="3"/>
        <v>5.7800599999999989</v>
      </c>
      <c r="G38" s="8">
        <v>5.0705100000000003E-3</v>
      </c>
      <c r="H38" s="6">
        <v>9.7800000000000005E-3</v>
      </c>
      <c r="I38" s="7">
        <f t="shared" si="4"/>
        <v>507.05100000000004</v>
      </c>
      <c r="J38" s="7">
        <f t="shared" si="5"/>
        <v>4.9589587800000006</v>
      </c>
      <c r="L38" s="7">
        <f t="shared" si="6"/>
        <v>-5.9503395687499072</v>
      </c>
      <c r="M38" s="7">
        <f t="shared" si="7"/>
        <v>10.809173117753733</v>
      </c>
      <c r="O38" s="4">
        <v>5500</v>
      </c>
      <c r="P38" s="5">
        <v>1.23</v>
      </c>
      <c r="Q38" s="8">
        <v>4.6E-5</v>
      </c>
      <c r="R38" s="7">
        <f t="shared" si="8"/>
        <v>5.6579999999999995</v>
      </c>
      <c r="S38" s="8">
        <v>5.1044200000000001E-3</v>
      </c>
      <c r="T38" s="6">
        <v>9.9900000000000006E-3</v>
      </c>
      <c r="U38" s="7">
        <f t="shared" si="9"/>
        <v>510.44200000000001</v>
      </c>
      <c r="V38" s="7">
        <f t="shared" si="10"/>
        <v>5.0993155799999998</v>
      </c>
      <c r="X38" s="7">
        <f t="shared" si="11"/>
        <v>7.2714547080687808</v>
      </c>
      <c r="Y38" s="7">
        <f t="shared" si="12"/>
        <v>10.69394088734421</v>
      </c>
    </row>
    <row r="39" spans="3:25" x14ac:dyDescent="0.25">
      <c r="C39" s="4">
        <v>6000</v>
      </c>
      <c r="D39" s="5">
        <v>1.21336</v>
      </c>
      <c r="E39" s="8">
        <v>4.6999999999999997E-5</v>
      </c>
      <c r="F39" s="7">
        <f t="shared" si="3"/>
        <v>5.7027919999999988</v>
      </c>
      <c r="G39" s="8">
        <v>4.8922799999999997E-3</v>
      </c>
      <c r="H39" s="6">
        <v>1.01E-2</v>
      </c>
      <c r="I39" s="7">
        <f t="shared" si="4"/>
        <v>489.22799999999995</v>
      </c>
      <c r="J39" s="7">
        <f t="shared" si="5"/>
        <v>4.9412028000000001</v>
      </c>
      <c r="L39" s="7">
        <f t="shared" si="6"/>
        <v>4.0756171308942157</v>
      </c>
      <c r="M39" s="7">
        <f t="shared" si="7"/>
        <v>11.073475600347216</v>
      </c>
      <c r="O39" s="4">
        <v>6000</v>
      </c>
      <c r="P39" s="5">
        <v>1.21343</v>
      </c>
      <c r="Q39" s="8">
        <v>4.8999999999999998E-5</v>
      </c>
      <c r="R39" s="7">
        <f t="shared" si="8"/>
        <v>5.9458069999999994</v>
      </c>
      <c r="S39" s="8">
        <v>4.9603499999999997E-3</v>
      </c>
      <c r="T39" s="6">
        <v>1.0109999999999999E-2</v>
      </c>
      <c r="U39" s="7">
        <f t="shared" si="9"/>
        <v>496.03499999999997</v>
      </c>
      <c r="V39" s="7">
        <f t="shared" si="10"/>
        <v>5.0149138499999992</v>
      </c>
      <c r="X39" s="7">
        <f t="shared" si="11"/>
        <v>8.8299943720615559</v>
      </c>
      <c r="Y39" s="7">
        <f t="shared" si="12"/>
        <v>11.306231364569946</v>
      </c>
    </row>
    <row r="40" spans="3:25" x14ac:dyDescent="0.25">
      <c r="C40" s="4">
        <v>6500</v>
      </c>
      <c r="D40" s="5">
        <v>1.19695</v>
      </c>
      <c r="E40" s="8">
        <v>4.8999999999999998E-5</v>
      </c>
      <c r="F40" s="7">
        <f t="shared" si="3"/>
        <v>5.865054999999999</v>
      </c>
      <c r="G40" s="8">
        <v>4.8949700000000002E-3</v>
      </c>
      <c r="H40" s="6">
        <v>1.035E-2</v>
      </c>
      <c r="I40" s="7">
        <f t="shared" si="4"/>
        <v>489.49700000000001</v>
      </c>
      <c r="J40" s="7">
        <f t="shared" si="5"/>
        <v>5.0662939500000004</v>
      </c>
      <c r="L40" s="7">
        <f t="shared" si="6"/>
        <v>0.697993872711411</v>
      </c>
      <c r="M40" s="7">
        <f t="shared" si="7"/>
        <v>11.697638304496136</v>
      </c>
      <c r="O40" s="4">
        <v>6500</v>
      </c>
      <c r="P40" s="5">
        <v>1.1970099999999999</v>
      </c>
      <c r="Q40" s="8">
        <v>4.8999999999999998E-5</v>
      </c>
      <c r="R40" s="7">
        <f t="shared" si="8"/>
        <v>5.8653489999999993</v>
      </c>
      <c r="S40" s="8">
        <v>4.8608000000000002E-3</v>
      </c>
      <c r="T40" s="6">
        <v>1.047E-2</v>
      </c>
      <c r="U40" s="7">
        <f t="shared" si="9"/>
        <v>486.08000000000004</v>
      </c>
      <c r="V40" s="7">
        <f t="shared" si="10"/>
        <v>5.0892575999999998</v>
      </c>
      <c r="X40" s="7">
        <f t="shared" si="11"/>
        <v>4.8857122008638676</v>
      </c>
      <c r="Y40" s="7">
        <f t="shared" si="12"/>
        <v>11.697351061224916</v>
      </c>
    </row>
    <row r="41" spans="3:25" x14ac:dyDescent="0.25">
      <c r="C41" s="4">
        <v>7000</v>
      </c>
      <c r="D41" s="5">
        <v>1.1808099999999999</v>
      </c>
      <c r="E41" s="8">
        <v>5.0000000000000002E-5</v>
      </c>
      <c r="F41" s="7">
        <f t="shared" si="3"/>
        <v>5.9040499999999998</v>
      </c>
      <c r="G41" s="8">
        <v>4.7426600000000001E-3</v>
      </c>
      <c r="H41" s="6">
        <v>1.076E-2</v>
      </c>
      <c r="I41" s="7">
        <f t="shared" si="4"/>
        <v>474.26600000000002</v>
      </c>
      <c r="J41" s="7">
        <f t="shared" si="5"/>
        <v>5.1031021599999997</v>
      </c>
      <c r="L41" s="7">
        <f t="shared" si="6"/>
        <v>-1.4343746293499215</v>
      </c>
      <c r="M41" s="7">
        <f t="shared" si="7"/>
        <v>12.096894255586408</v>
      </c>
      <c r="O41" s="4">
        <v>7000</v>
      </c>
      <c r="P41" s="5">
        <v>1.1809400000000001</v>
      </c>
      <c r="Q41" s="8">
        <v>5.0000000000000002E-5</v>
      </c>
      <c r="R41" s="7">
        <f t="shared" si="8"/>
        <v>5.9047000000000001</v>
      </c>
      <c r="S41" s="8">
        <v>4.7275299999999998E-3</v>
      </c>
      <c r="T41" s="6">
        <v>1.0710000000000001E-2</v>
      </c>
      <c r="U41" s="7">
        <f t="shared" si="9"/>
        <v>472.75299999999999</v>
      </c>
      <c r="V41" s="7">
        <f t="shared" si="10"/>
        <v>5.0631846300000003</v>
      </c>
      <c r="X41" s="7">
        <f t="shared" si="11"/>
        <v>7.8881920193785149</v>
      </c>
      <c r="Y41" s="7">
        <f t="shared" si="12"/>
        <v>12.096241622028803</v>
      </c>
    </row>
    <row r="43" spans="3:25" ht="18.75" x14ac:dyDescent="0.3">
      <c r="C43" s="24" t="s">
        <v>12</v>
      </c>
      <c r="D43" s="24"/>
      <c r="E43" s="24"/>
      <c r="F43" s="24"/>
      <c r="G43" s="24"/>
      <c r="H43" s="24"/>
      <c r="I43" s="24"/>
      <c r="J43" s="24"/>
      <c r="L43" s="25" t="s">
        <v>9</v>
      </c>
      <c r="M43" s="23" t="s">
        <v>10</v>
      </c>
      <c r="O43" s="15" t="s">
        <v>56</v>
      </c>
    </row>
    <row r="44" spans="3:25" ht="18.75" x14ac:dyDescent="0.3"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4</v>
      </c>
      <c r="I44" s="3" t="s">
        <v>7</v>
      </c>
      <c r="J44" s="3" t="s">
        <v>5</v>
      </c>
      <c r="L44" s="25"/>
      <c r="M44" s="23"/>
      <c r="O44" s="16" t="s">
        <v>57</v>
      </c>
    </row>
    <row r="45" spans="3:25" ht="18.75" x14ac:dyDescent="0.3">
      <c r="C45" s="4">
        <v>0</v>
      </c>
      <c r="D45" s="5">
        <v>1.4081600000000001</v>
      </c>
      <c r="E45" s="8">
        <v>1.4999999999999999E-4</v>
      </c>
      <c r="F45" s="7">
        <f>E45*100000</f>
        <v>14.999999999999998</v>
      </c>
      <c r="G45" s="8">
        <v>6.7736050000000003E-3</v>
      </c>
      <c r="H45" s="8">
        <v>5.1057039999999999E-5</v>
      </c>
      <c r="I45" s="7">
        <f>G45*100000</f>
        <v>677.3605</v>
      </c>
      <c r="J45" s="7">
        <f>H45*100000</f>
        <v>5.1057040000000002</v>
      </c>
      <c r="L45" s="7">
        <f>(1/D7-1/D45)*100000</f>
        <v>5.0434397273813047</v>
      </c>
      <c r="M45" s="7">
        <f>SQRT(1/D45^4*F45^2+1/D7^4*F7^2)*2</f>
        <v>15.797260574814745</v>
      </c>
      <c r="O45" s="14" t="s">
        <v>55</v>
      </c>
    </row>
    <row r="46" spans="3:25" x14ac:dyDescent="0.25">
      <c r="C46" s="4">
        <v>250</v>
      </c>
      <c r="D46" s="5">
        <v>1.40055</v>
      </c>
      <c r="E46" s="8">
        <v>1.3999999999999999E-4</v>
      </c>
      <c r="F46" s="7">
        <f t="shared" ref="F46:F60" si="13">E46*100000</f>
        <v>13.999999999999998</v>
      </c>
      <c r="G46" s="8">
        <v>6.7447000000000002E-3</v>
      </c>
      <c r="H46" s="8">
        <v>5.9722000000000002E-5</v>
      </c>
      <c r="I46" s="7">
        <f t="shared" ref="I46:J60" si="14">G46*100000</f>
        <v>674.47</v>
      </c>
      <c r="J46" s="7">
        <f t="shared" si="14"/>
        <v>5.9722</v>
      </c>
      <c r="L46" s="7">
        <f t="shared" ref="L46:L60" si="15">(1/D8-1/D46)*100000</f>
        <v>-5.6073974659232029</v>
      </c>
      <c r="M46" s="7">
        <f t="shared" ref="M46:M60" si="16">SQRT(1/D46^4*F46^2+1/D8^4*F8^2)*2</f>
        <v>14.987979082866811</v>
      </c>
    </row>
    <row r="47" spans="3:25" x14ac:dyDescent="0.25">
      <c r="C47" s="4">
        <v>500</v>
      </c>
      <c r="D47" s="5">
        <v>1.3932</v>
      </c>
      <c r="E47" s="8">
        <v>1.4999999999999999E-4</v>
      </c>
      <c r="F47" s="7">
        <f t="shared" si="13"/>
        <v>14.999999999999998</v>
      </c>
      <c r="G47" s="8">
        <v>6.695197E-3</v>
      </c>
      <c r="H47" s="8">
        <v>5.7932239999999997E-5</v>
      </c>
      <c r="I47" s="7">
        <f t="shared" si="14"/>
        <v>669.51969999999994</v>
      </c>
      <c r="J47" s="7">
        <f t="shared" si="14"/>
        <v>5.7932239999999995</v>
      </c>
      <c r="L47" s="7">
        <f t="shared" si="15"/>
        <v>-4.6364707422030804</v>
      </c>
      <c r="M47" s="7">
        <f t="shared" si="16"/>
        <v>16.165517004102846</v>
      </c>
    </row>
    <row r="48" spans="3:25" x14ac:dyDescent="0.25">
      <c r="C48" s="4">
        <v>1000</v>
      </c>
      <c r="D48" s="5">
        <v>1.37832</v>
      </c>
      <c r="E48" s="8">
        <v>1.3999999999999999E-4</v>
      </c>
      <c r="F48" s="7">
        <f t="shared" si="13"/>
        <v>13.999999999999998</v>
      </c>
      <c r="G48" s="8">
        <v>6.534766E-3</v>
      </c>
      <c r="H48" s="8">
        <v>5.3826419999999998E-5</v>
      </c>
      <c r="I48" s="7">
        <f t="shared" si="14"/>
        <v>653.47659999999996</v>
      </c>
      <c r="J48" s="7">
        <f t="shared" si="14"/>
        <v>5.3826419999999997</v>
      </c>
      <c r="L48" s="7">
        <f t="shared" si="15"/>
        <v>4.7377348600829983</v>
      </c>
      <c r="M48" s="7">
        <f t="shared" si="16"/>
        <v>15.542555514238941</v>
      </c>
    </row>
    <row r="49" spans="3:13" x14ac:dyDescent="0.25">
      <c r="C49" s="4">
        <v>1500</v>
      </c>
      <c r="D49" s="5">
        <v>1.3627499999999999</v>
      </c>
      <c r="E49" s="8">
        <v>1.4999999999999999E-4</v>
      </c>
      <c r="F49" s="7">
        <f t="shared" si="13"/>
        <v>14.999999999999998</v>
      </c>
      <c r="G49" s="8">
        <v>6.3791739999999996E-3</v>
      </c>
      <c r="H49" s="8">
        <v>5.6335590000000002E-5</v>
      </c>
      <c r="I49" s="7">
        <f t="shared" si="14"/>
        <v>637.91739999999993</v>
      </c>
      <c r="J49" s="7">
        <f t="shared" si="14"/>
        <v>5.633559</v>
      </c>
      <c r="L49" s="7">
        <f t="shared" si="15"/>
        <v>4.8466182248740886</v>
      </c>
      <c r="M49" s="7">
        <f t="shared" si="16"/>
        <v>16.951435679644671</v>
      </c>
    </row>
    <row r="50" spans="3:13" x14ac:dyDescent="0.25">
      <c r="C50" s="4">
        <v>2000</v>
      </c>
      <c r="D50" s="5">
        <v>1.34697</v>
      </c>
      <c r="E50" s="8">
        <v>1.3999999999999999E-4</v>
      </c>
      <c r="F50" s="7">
        <f t="shared" si="13"/>
        <v>13.999999999999998</v>
      </c>
      <c r="G50" s="8">
        <v>6.2655890000000002E-3</v>
      </c>
      <c r="H50" s="8">
        <v>5.393241E-5</v>
      </c>
      <c r="I50" s="7">
        <f t="shared" si="14"/>
        <v>626.55889999999999</v>
      </c>
      <c r="J50" s="7">
        <f t="shared" si="14"/>
        <v>5.3932409999999997</v>
      </c>
      <c r="L50" s="7">
        <f t="shared" si="15"/>
        <v>7.7171569159539821</v>
      </c>
      <c r="M50" s="7">
        <f t="shared" si="16"/>
        <v>16.332391945972422</v>
      </c>
    </row>
    <row r="51" spans="3:13" x14ac:dyDescent="0.25">
      <c r="C51" s="4">
        <v>2500</v>
      </c>
      <c r="D51" s="5">
        <v>1.3306199999999999</v>
      </c>
      <c r="E51" s="8">
        <v>1.3999999999999999E-4</v>
      </c>
      <c r="F51" s="7">
        <f t="shared" si="13"/>
        <v>13.999999999999998</v>
      </c>
      <c r="G51" s="8">
        <v>6.0921639999999997E-3</v>
      </c>
      <c r="H51" s="8">
        <v>5.3272780000000001E-5</v>
      </c>
      <c r="I51" s="7">
        <f t="shared" si="14"/>
        <v>609.21640000000002</v>
      </c>
      <c r="J51" s="7">
        <f t="shared" si="14"/>
        <v>5.3272779999999997</v>
      </c>
      <c r="L51" s="7">
        <f t="shared" si="15"/>
        <v>-2.8238758003618081</v>
      </c>
      <c r="M51" s="7">
        <f t="shared" si="16"/>
        <v>16.763590582405094</v>
      </c>
    </row>
    <row r="52" spans="3:13" x14ac:dyDescent="0.25">
      <c r="C52" s="4">
        <v>3000</v>
      </c>
      <c r="D52" s="5">
        <v>1.3142</v>
      </c>
      <c r="E52" s="8">
        <v>1.4999999999999999E-4</v>
      </c>
      <c r="F52" s="7">
        <f t="shared" si="13"/>
        <v>14.999999999999998</v>
      </c>
      <c r="G52" s="8">
        <v>5.9150779999999998E-3</v>
      </c>
      <c r="H52" s="8">
        <v>4.8378299999999997E-5</v>
      </c>
      <c r="I52" s="7">
        <f t="shared" si="14"/>
        <v>591.50779999999997</v>
      </c>
      <c r="J52" s="7">
        <f t="shared" si="14"/>
        <v>4.8378299999999994</v>
      </c>
      <c r="L52" s="7">
        <f t="shared" si="15"/>
        <v>2.8951002183252861</v>
      </c>
      <c r="M52" s="7">
        <f t="shared" si="16"/>
        <v>18.356027627807705</v>
      </c>
    </row>
    <row r="53" spans="3:13" x14ac:dyDescent="0.25">
      <c r="C53" s="9">
        <v>3500</v>
      </c>
      <c r="D53" s="10">
        <v>1.2977000000000001</v>
      </c>
      <c r="E53" s="11">
        <v>1.2999999999999999E-4</v>
      </c>
      <c r="F53" s="12">
        <f t="shared" si="13"/>
        <v>12.999999999999998</v>
      </c>
      <c r="G53" s="11">
        <v>5.7876259999999997E-3</v>
      </c>
      <c r="H53" s="11">
        <v>5.5089529999999997E-5</v>
      </c>
      <c r="I53" s="12">
        <f t="shared" si="14"/>
        <v>578.76260000000002</v>
      </c>
      <c r="J53" s="12">
        <f t="shared" si="14"/>
        <v>5.508953</v>
      </c>
      <c r="L53" s="7">
        <f t="shared" si="15"/>
        <v>19.600889666326893</v>
      </c>
      <c r="M53" s="7">
        <f t="shared" si="16"/>
        <v>16.625051962885504</v>
      </c>
    </row>
    <row r="54" spans="3:13" x14ac:dyDescent="0.25">
      <c r="C54" s="9">
        <v>4000</v>
      </c>
      <c r="D54" s="10">
        <v>1.28064</v>
      </c>
      <c r="E54" s="11">
        <v>1.2999999999999999E-4</v>
      </c>
      <c r="F54" s="12">
        <f t="shared" si="13"/>
        <v>12.999999999999998</v>
      </c>
      <c r="G54" s="11">
        <v>5.6176100000000003E-3</v>
      </c>
      <c r="H54" s="11">
        <v>5.3499999999999999E-5</v>
      </c>
      <c r="I54" s="12">
        <f t="shared" si="14"/>
        <v>561.76100000000008</v>
      </c>
      <c r="J54" s="12">
        <f t="shared" si="14"/>
        <v>5.35</v>
      </c>
      <c r="L54" s="7">
        <f t="shared" si="15"/>
        <v>1.8292678572229271</v>
      </c>
      <c r="M54" s="7">
        <f t="shared" si="16"/>
        <v>17.097588853176202</v>
      </c>
    </row>
    <row r="55" spans="3:13" x14ac:dyDescent="0.25">
      <c r="C55" s="4">
        <v>4500</v>
      </c>
      <c r="D55" s="5"/>
      <c r="E55" s="8"/>
      <c r="F55" s="7">
        <f t="shared" si="13"/>
        <v>0</v>
      </c>
      <c r="G55" s="8"/>
      <c r="H55" s="8"/>
      <c r="I55" s="7">
        <f t="shared" si="14"/>
        <v>0</v>
      </c>
      <c r="J55" s="7">
        <f t="shared" si="14"/>
        <v>0</v>
      </c>
      <c r="L55" s="7" t="e">
        <f t="shared" si="15"/>
        <v>#DIV/0!</v>
      </c>
      <c r="M55" s="7" t="e">
        <f t="shared" si="16"/>
        <v>#DIV/0!</v>
      </c>
    </row>
    <row r="56" spans="3:13" x14ac:dyDescent="0.25">
      <c r="C56" s="4">
        <v>5000</v>
      </c>
      <c r="E56" s="8"/>
      <c r="F56" s="7">
        <f t="shared" si="13"/>
        <v>0</v>
      </c>
      <c r="G56" s="8"/>
      <c r="H56" s="8"/>
      <c r="I56" s="7">
        <f t="shared" si="14"/>
        <v>0</v>
      </c>
      <c r="J56" s="7">
        <f t="shared" si="14"/>
        <v>0</v>
      </c>
      <c r="L56" s="7" t="e">
        <f t="shared" si="15"/>
        <v>#DIV/0!</v>
      </c>
      <c r="M56" s="7" t="e">
        <f t="shared" si="16"/>
        <v>#DIV/0!</v>
      </c>
    </row>
    <row r="57" spans="3:13" x14ac:dyDescent="0.25">
      <c r="C57" s="4">
        <v>5500</v>
      </c>
      <c r="D57" s="5"/>
      <c r="E57" s="8"/>
      <c r="F57" s="7">
        <f t="shared" si="13"/>
        <v>0</v>
      </c>
      <c r="G57" s="8"/>
      <c r="H57" s="8"/>
      <c r="I57" s="7">
        <f t="shared" si="14"/>
        <v>0</v>
      </c>
      <c r="J57" s="7">
        <f t="shared" si="14"/>
        <v>0</v>
      </c>
      <c r="L57" s="7" t="e">
        <f t="shared" si="15"/>
        <v>#DIV/0!</v>
      </c>
      <c r="M57" s="7" t="e">
        <f t="shared" si="16"/>
        <v>#DIV/0!</v>
      </c>
    </row>
    <row r="58" spans="3:13" x14ac:dyDescent="0.25">
      <c r="C58" s="4">
        <v>6000</v>
      </c>
      <c r="D58" s="5"/>
      <c r="E58" s="8"/>
      <c r="F58" s="7">
        <f t="shared" si="13"/>
        <v>0</v>
      </c>
      <c r="G58" s="8"/>
      <c r="H58" s="8"/>
      <c r="I58" s="7">
        <f t="shared" si="14"/>
        <v>0</v>
      </c>
      <c r="J58" s="7">
        <f t="shared" si="14"/>
        <v>0</v>
      </c>
      <c r="L58" s="7" t="e">
        <f t="shared" si="15"/>
        <v>#DIV/0!</v>
      </c>
      <c r="M58" s="7" t="e">
        <f t="shared" si="16"/>
        <v>#DIV/0!</v>
      </c>
    </row>
    <row r="59" spans="3:13" x14ac:dyDescent="0.25">
      <c r="C59" s="4">
        <v>6500</v>
      </c>
      <c r="D59" s="5"/>
      <c r="E59" s="8"/>
      <c r="F59" s="7">
        <f t="shared" si="13"/>
        <v>0</v>
      </c>
      <c r="G59" s="8"/>
      <c r="H59" s="8"/>
      <c r="I59" s="7">
        <f t="shared" si="14"/>
        <v>0</v>
      </c>
      <c r="J59" s="7">
        <f t="shared" si="14"/>
        <v>0</v>
      </c>
      <c r="L59" s="7" t="e">
        <f t="shared" si="15"/>
        <v>#DIV/0!</v>
      </c>
      <c r="M59" s="7" t="e">
        <f t="shared" si="16"/>
        <v>#DIV/0!</v>
      </c>
    </row>
    <row r="60" spans="3:13" x14ac:dyDescent="0.25">
      <c r="C60" s="4">
        <v>7000</v>
      </c>
      <c r="D60" s="5"/>
      <c r="E60" s="8"/>
      <c r="F60" s="7">
        <f t="shared" si="13"/>
        <v>0</v>
      </c>
      <c r="G60" s="8"/>
      <c r="H60" s="8"/>
      <c r="I60" s="7">
        <f t="shared" si="14"/>
        <v>0</v>
      </c>
      <c r="J60" s="7">
        <f t="shared" si="14"/>
        <v>0</v>
      </c>
      <c r="L60" s="7" t="e">
        <f t="shared" si="15"/>
        <v>#DIV/0!</v>
      </c>
      <c r="M60" s="7" t="e">
        <f t="shared" si="16"/>
        <v>#DIV/0!</v>
      </c>
    </row>
    <row r="62" spans="3:13" x14ac:dyDescent="0.25">
      <c r="F62" s="2" t="s">
        <v>13</v>
      </c>
    </row>
    <row r="64" spans="3:13" x14ac:dyDescent="0.25">
      <c r="F64" s="2" t="s">
        <v>14</v>
      </c>
    </row>
    <row r="65" spans="3:7" x14ac:dyDescent="0.25">
      <c r="F65" s="2" t="s">
        <v>15</v>
      </c>
    </row>
    <row r="66" spans="3:7" x14ac:dyDescent="0.25">
      <c r="C66" s="13" t="s">
        <v>16</v>
      </c>
      <c r="D66" s="13"/>
      <c r="F66" s="2" t="s">
        <v>14</v>
      </c>
    </row>
    <row r="68" spans="3:7" x14ac:dyDescent="0.25">
      <c r="C68" s="2" t="s">
        <v>17</v>
      </c>
      <c r="F68" s="2" t="s">
        <v>17</v>
      </c>
    </row>
    <row r="69" spans="3:7" x14ac:dyDescent="0.25">
      <c r="C69" s="2" t="s">
        <v>18</v>
      </c>
      <c r="F69" s="2" t="s">
        <v>18</v>
      </c>
    </row>
    <row r="70" spans="3:7" x14ac:dyDescent="0.25">
      <c r="C70" s="2" t="s">
        <v>19</v>
      </c>
      <c r="F70" s="2" t="s">
        <v>19</v>
      </c>
    </row>
    <row r="71" spans="3:7" x14ac:dyDescent="0.25">
      <c r="C71" s="2" t="s">
        <v>20</v>
      </c>
      <c r="F71" s="2" t="s">
        <v>20</v>
      </c>
    </row>
    <row r="72" spans="3:7" x14ac:dyDescent="0.25">
      <c r="C72" s="13" t="s">
        <v>21</v>
      </c>
      <c r="D72" s="13"/>
      <c r="E72" s="13"/>
      <c r="F72" s="13" t="s">
        <v>21</v>
      </c>
      <c r="G72" s="13"/>
    </row>
    <row r="73" spans="3:7" x14ac:dyDescent="0.25">
      <c r="C73" s="2" t="s">
        <v>22</v>
      </c>
      <c r="F73" s="2" t="s">
        <v>22</v>
      </c>
    </row>
    <row r="74" spans="3:7" x14ac:dyDescent="0.25">
      <c r="C74" s="2" t="s">
        <v>23</v>
      </c>
      <c r="F74" s="2" t="s">
        <v>23</v>
      </c>
    </row>
    <row r="75" spans="3:7" x14ac:dyDescent="0.25">
      <c r="C75" s="2" t="s">
        <v>24</v>
      </c>
      <c r="F75" s="2" t="s">
        <v>24</v>
      </c>
    </row>
    <row r="76" spans="3:7" x14ac:dyDescent="0.25">
      <c r="C76" s="2" t="s">
        <v>25</v>
      </c>
      <c r="F76" s="2" t="s">
        <v>25</v>
      </c>
    </row>
    <row r="77" spans="3:7" x14ac:dyDescent="0.25">
      <c r="C77" s="2" t="s">
        <v>26</v>
      </c>
      <c r="F77" s="2" t="s">
        <v>26</v>
      </c>
    </row>
    <row r="78" spans="3:7" x14ac:dyDescent="0.25">
      <c r="C78" s="2" t="s">
        <v>27</v>
      </c>
      <c r="F78" s="2" t="s">
        <v>27</v>
      </c>
    </row>
    <row r="79" spans="3:7" x14ac:dyDescent="0.25">
      <c r="C79" s="2" t="s">
        <v>28</v>
      </c>
      <c r="F79" s="2" t="s">
        <v>28</v>
      </c>
    </row>
    <row r="80" spans="3:7" x14ac:dyDescent="0.25">
      <c r="C80" s="2" t="s">
        <v>29</v>
      </c>
      <c r="F80" s="2" t="s">
        <v>29</v>
      </c>
    </row>
    <row r="81" spans="3:6" x14ac:dyDescent="0.25">
      <c r="C81" s="2" t="s">
        <v>30</v>
      </c>
      <c r="F81" s="2" t="s">
        <v>30</v>
      </c>
    </row>
    <row r="82" spans="3:6" x14ac:dyDescent="0.25">
      <c r="C82" s="2" t="s">
        <v>31</v>
      </c>
      <c r="F82" s="2" t="s">
        <v>31</v>
      </c>
    </row>
    <row r="83" spans="3:6" x14ac:dyDescent="0.25">
      <c r="C83" s="2" t="s">
        <v>32</v>
      </c>
      <c r="F83" s="2" t="s">
        <v>32</v>
      </c>
    </row>
    <row r="84" spans="3:6" x14ac:dyDescent="0.25">
      <c r="C84" s="2" t="s">
        <v>33</v>
      </c>
      <c r="F84" s="2" t="s">
        <v>33</v>
      </c>
    </row>
    <row r="85" spans="3:6" x14ac:dyDescent="0.25">
      <c r="C85" s="2" t="s">
        <v>34</v>
      </c>
      <c r="F85" s="2" t="s">
        <v>34</v>
      </c>
    </row>
    <row r="86" spans="3:6" x14ac:dyDescent="0.25">
      <c r="C86" s="2" t="s">
        <v>35</v>
      </c>
      <c r="F86" s="2" t="s">
        <v>35</v>
      </c>
    </row>
    <row r="87" spans="3:6" x14ac:dyDescent="0.25">
      <c r="C87" s="2" t="s">
        <v>36</v>
      </c>
      <c r="F87" s="2" t="s">
        <v>36</v>
      </c>
    </row>
    <row r="88" spans="3:6" x14ac:dyDescent="0.25">
      <c r="C88" s="2" t="s">
        <v>37</v>
      </c>
      <c r="F88" s="2" t="s">
        <v>37</v>
      </c>
    </row>
    <row r="89" spans="3:6" x14ac:dyDescent="0.25">
      <c r="C89" s="2" t="s">
        <v>38</v>
      </c>
      <c r="F89" s="2" t="s">
        <v>38</v>
      </c>
    </row>
    <row r="90" spans="3:6" x14ac:dyDescent="0.25">
      <c r="C90" s="2" t="s">
        <v>39</v>
      </c>
      <c r="F90" s="2" t="s">
        <v>39</v>
      </c>
    </row>
    <row r="91" spans="3:6" x14ac:dyDescent="0.25">
      <c r="C91" s="2" t="s">
        <v>40</v>
      </c>
      <c r="F91" s="2" t="s">
        <v>40</v>
      </c>
    </row>
    <row r="92" spans="3:6" x14ac:dyDescent="0.25">
      <c r="C92" s="2" t="s">
        <v>41</v>
      </c>
      <c r="F92" s="2" t="s">
        <v>41</v>
      </c>
    </row>
    <row r="93" spans="3:6" x14ac:dyDescent="0.25">
      <c r="C93" s="2" t="s">
        <v>42</v>
      </c>
      <c r="F93" s="2" t="s">
        <v>42</v>
      </c>
    </row>
    <row r="94" spans="3:6" x14ac:dyDescent="0.25">
      <c r="C94" s="2" t="s">
        <v>43</v>
      </c>
      <c r="F94" s="2" t="s">
        <v>43</v>
      </c>
    </row>
    <row r="95" spans="3:6" x14ac:dyDescent="0.25">
      <c r="C95" s="2" t="s">
        <v>44</v>
      </c>
      <c r="F95" s="2" t="s">
        <v>44</v>
      </c>
    </row>
    <row r="96" spans="3:6" x14ac:dyDescent="0.25">
      <c r="C96" s="2" t="s">
        <v>45</v>
      </c>
      <c r="F96" s="2" t="s">
        <v>45</v>
      </c>
    </row>
    <row r="97" spans="3:6" x14ac:dyDescent="0.25">
      <c r="C97" s="2" t="s">
        <v>46</v>
      </c>
      <c r="F97" s="2" t="s">
        <v>46</v>
      </c>
    </row>
    <row r="98" spans="3:6" x14ac:dyDescent="0.25">
      <c r="C98" s="2" t="s">
        <v>47</v>
      </c>
      <c r="F98" s="2" t="s">
        <v>47</v>
      </c>
    </row>
    <row r="99" spans="3:6" x14ac:dyDescent="0.25">
      <c r="C99" s="2" t="s">
        <v>48</v>
      </c>
      <c r="F99" s="2" t="s">
        <v>48</v>
      </c>
    </row>
    <row r="100" spans="3:6" x14ac:dyDescent="0.25">
      <c r="C100" s="2" t="s">
        <v>49</v>
      </c>
      <c r="F100" s="2" t="s">
        <v>49</v>
      </c>
    </row>
    <row r="101" spans="3:6" x14ac:dyDescent="0.25">
      <c r="C101" s="2" t="s">
        <v>50</v>
      </c>
      <c r="F101" s="2" t="s">
        <v>50</v>
      </c>
    </row>
    <row r="102" spans="3:6" x14ac:dyDescent="0.25">
      <c r="C102" s="2" t="s">
        <v>51</v>
      </c>
      <c r="F102" s="2" t="s">
        <v>51</v>
      </c>
    </row>
    <row r="103" spans="3:6" x14ac:dyDescent="0.25">
      <c r="C103" s="2" t="s">
        <v>52</v>
      </c>
      <c r="F103" s="2" t="s">
        <v>52</v>
      </c>
    </row>
    <row r="104" spans="3:6" x14ac:dyDescent="0.25">
      <c r="C104" s="2" t="s">
        <v>53</v>
      </c>
      <c r="F104" s="2" t="s">
        <v>53</v>
      </c>
    </row>
    <row r="105" spans="3:6" x14ac:dyDescent="0.25">
      <c r="C105" s="2" t="s">
        <v>54</v>
      </c>
      <c r="F105" s="2" t="s">
        <v>54</v>
      </c>
    </row>
    <row r="107" spans="3:6" x14ac:dyDescent="0.25">
      <c r="F107" s="2" t="s">
        <v>14</v>
      </c>
    </row>
  </sheetData>
  <mergeCells count="10">
    <mergeCell ref="Y24:Y25"/>
    <mergeCell ref="C43:J43"/>
    <mergeCell ref="L43:L44"/>
    <mergeCell ref="M43:M44"/>
    <mergeCell ref="C5:J5"/>
    <mergeCell ref="C24:J24"/>
    <mergeCell ref="L24:L25"/>
    <mergeCell ref="M24:M25"/>
    <mergeCell ref="O24:V24"/>
    <mergeCell ref="X24:X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AF0D-DF30-4350-B5C9-6C48D71D4777}">
  <dimension ref="C3:O79"/>
  <sheetViews>
    <sheetView zoomScale="145" zoomScaleNormal="145" workbookViewId="0">
      <selection activeCell="O53" sqref="O53"/>
    </sheetView>
  </sheetViews>
  <sheetFormatPr defaultRowHeight="15" x14ac:dyDescent="0.25"/>
  <cols>
    <col min="1" max="3" width="9" style="2"/>
    <col min="4" max="4" width="9.75" style="2" customWidth="1"/>
    <col min="5" max="5" width="9.625" style="2" customWidth="1"/>
    <col min="6" max="6" width="10.375" style="2" customWidth="1"/>
    <col min="7" max="7" width="11.25" style="2" customWidth="1"/>
    <col min="8" max="8" width="10.75" style="2" customWidth="1"/>
    <col min="9" max="9" width="12.625" style="2" customWidth="1"/>
    <col min="10" max="10" width="16" style="2" customWidth="1"/>
    <col min="11" max="11" width="9" style="2"/>
    <col min="12" max="14" width="9.375" style="2" customWidth="1"/>
    <col min="15" max="15" width="10.5" style="2" bestFit="1" customWidth="1"/>
    <col min="16" max="16" width="11.125" style="2" customWidth="1"/>
    <col min="17" max="17" width="9.375" style="2" customWidth="1"/>
    <col min="18" max="18" width="12.875" style="2" bestFit="1" customWidth="1"/>
    <col min="19" max="19" width="12.125" style="2" customWidth="1"/>
    <col min="20" max="21" width="9" style="2"/>
    <col min="22" max="22" width="10" style="2" customWidth="1"/>
    <col min="23" max="23" width="10.25" style="2" customWidth="1"/>
    <col min="24" max="25" width="10.75" style="2" customWidth="1"/>
    <col min="26" max="26" width="11" style="2" customWidth="1"/>
    <col min="27" max="27" width="13.625" style="2" customWidth="1"/>
    <col min="28" max="28" width="11.5" style="2" customWidth="1"/>
    <col min="29" max="16384" width="9" style="2"/>
  </cols>
  <sheetData>
    <row r="3" spans="3:10" x14ac:dyDescent="0.25">
      <c r="C3" s="1" t="s">
        <v>58</v>
      </c>
    </row>
    <row r="5" spans="3:10" x14ac:dyDescent="0.25">
      <c r="C5" s="26" t="s">
        <v>11</v>
      </c>
      <c r="D5" s="27"/>
      <c r="E5" s="27"/>
      <c r="F5" s="27"/>
      <c r="G5" s="27"/>
      <c r="H5" s="27"/>
      <c r="I5" s="27"/>
      <c r="J5" s="28"/>
    </row>
    <row r="6" spans="3:10" x14ac:dyDescent="0.25"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4</v>
      </c>
      <c r="I6" s="3" t="s">
        <v>7</v>
      </c>
      <c r="J6" s="3" t="s">
        <v>5</v>
      </c>
    </row>
    <row r="7" spans="3:10" x14ac:dyDescent="0.25">
      <c r="C7" s="4">
        <v>0</v>
      </c>
      <c r="D7" s="5">
        <v>1.40795</v>
      </c>
      <c r="E7" s="6">
        <v>3.1999999999999999E-5</v>
      </c>
      <c r="F7" s="7">
        <f>E7*100000*D7</f>
        <v>4.5054400000000001</v>
      </c>
      <c r="G7" s="8">
        <v>6.8008599999999997E-3</v>
      </c>
      <c r="H7" s="6">
        <v>7.3400000000000002E-3</v>
      </c>
      <c r="I7" s="7">
        <f>G7*100000</f>
        <v>680.08600000000001</v>
      </c>
      <c r="J7" s="7">
        <f>G7*H7*100000</f>
        <v>4.9918312399999998</v>
      </c>
    </row>
    <row r="8" spans="3:10" x14ac:dyDescent="0.25">
      <c r="C8" s="4">
        <v>250</v>
      </c>
      <c r="D8" s="5">
        <v>1.4012</v>
      </c>
      <c r="E8" s="6">
        <v>3.1999999999999999E-5</v>
      </c>
      <c r="F8" s="7">
        <f t="shared" ref="F8:F22" si="0">E8*100000*D8</f>
        <v>4.4838399999999998</v>
      </c>
      <c r="G8" s="8">
        <v>6.86055E-3</v>
      </c>
      <c r="H8" s="6">
        <v>7.1900000000000002E-3</v>
      </c>
      <c r="I8" s="7">
        <f t="shared" ref="I8:I22" si="1">G8*100000</f>
        <v>686.05499999999995</v>
      </c>
      <c r="J8" s="7">
        <f t="shared" ref="J8:J22" si="2">G8*H8*100000</f>
        <v>4.93273545</v>
      </c>
    </row>
    <row r="9" spans="3:10" x14ac:dyDescent="0.25">
      <c r="C9" s="4">
        <v>500</v>
      </c>
      <c r="D9" s="5">
        <v>1.3942699999999999</v>
      </c>
      <c r="E9" s="6">
        <v>3.3000000000000003E-5</v>
      </c>
      <c r="F9" s="7">
        <f t="shared" si="0"/>
        <v>4.6010910000000003</v>
      </c>
      <c r="G9" s="8">
        <v>6.6782899999999999E-3</v>
      </c>
      <c r="H9" s="6">
        <v>7.6E-3</v>
      </c>
      <c r="I9" s="7">
        <f t="shared" si="1"/>
        <v>667.82899999999995</v>
      </c>
      <c r="J9" s="7">
        <f t="shared" si="2"/>
        <v>5.0755004000000001</v>
      </c>
    </row>
    <row r="10" spans="3:10" x14ac:dyDescent="0.25">
      <c r="C10" s="4">
        <v>1000</v>
      </c>
      <c r="D10" s="5">
        <v>1.38028</v>
      </c>
      <c r="E10" s="6">
        <v>3.3000000000000003E-5</v>
      </c>
      <c r="F10" s="7">
        <f t="shared" si="0"/>
        <v>4.5549240000000006</v>
      </c>
      <c r="G10" s="8">
        <v>6.5136899999999999E-3</v>
      </c>
      <c r="H10" s="6">
        <v>7.5599999999999999E-3</v>
      </c>
      <c r="I10" s="7">
        <f t="shared" si="1"/>
        <v>651.36900000000003</v>
      </c>
      <c r="J10" s="7">
        <f t="shared" si="2"/>
        <v>4.92434964</v>
      </c>
    </row>
    <row r="11" spans="3:10" x14ac:dyDescent="0.25">
      <c r="C11" s="4">
        <v>1500</v>
      </c>
      <c r="D11" s="5">
        <v>1.3658699999999999</v>
      </c>
      <c r="E11" s="6">
        <v>3.4999999999999997E-5</v>
      </c>
      <c r="F11" s="7">
        <f t="shared" si="0"/>
        <v>4.7805449999999992</v>
      </c>
      <c r="G11" s="8">
        <v>6.4132299999999998E-3</v>
      </c>
      <c r="H11" s="6">
        <v>7.7499999999999999E-3</v>
      </c>
      <c r="I11" s="7">
        <f t="shared" si="1"/>
        <v>641.32299999999998</v>
      </c>
      <c r="J11" s="7">
        <f t="shared" si="2"/>
        <v>4.9702532499999998</v>
      </c>
    </row>
    <row r="12" spans="3:10" x14ac:dyDescent="0.25">
      <c r="C12" s="4">
        <v>2000</v>
      </c>
      <c r="D12" s="5">
        <v>1.3509500000000001</v>
      </c>
      <c r="E12" s="6">
        <v>3.6000000000000001E-5</v>
      </c>
      <c r="F12" s="7">
        <f t="shared" si="0"/>
        <v>4.8634200000000005</v>
      </c>
      <c r="G12" s="8">
        <v>6.2668000000000003E-3</v>
      </c>
      <c r="H12" s="6">
        <v>8.0400000000000003E-3</v>
      </c>
      <c r="I12" s="7">
        <f t="shared" si="1"/>
        <v>626.68000000000006</v>
      </c>
      <c r="J12" s="7">
        <f t="shared" si="2"/>
        <v>5.0385072000000006</v>
      </c>
    </row>
    <row r="13" spans="3:10" x14ac:dyDescent="0.25">
      <c r="C13" s="4">
        <v>2500</v>
      </c>
      <c r="D13" s="5">
        <v>1.3359099999999999</v>
      </c>
      <c r="E13" s="6">
        <v>3.8000000000000002E-5</v>
      </c>
      <c r="F13" s="7">
        <f t="shared" si="0"/>
        <v>5.0764579999999997</v>
      </c>
      <c r="G13" s="8">
        <v>6.1441500000000001E-3</v>
      </c>
      <c r="H13" s="6">
        <v>8.2799999999999992E-3</v>
      </c>
      <c r="I13" s="7">
        <f t="shared" si="1"/>
        <v>614.41499999999996</v>
      </c>
      <c r="J13" s="7">
        <f t="shared" si="2"/>
        <v>5.0873561999999994</v>
      </c>
    </row>
    <row r="14" spans="3:10" x14ac:dyDescent="0.25">
      <c r="C14" s="4">
        <v>3000</v>
      </c>
      <c r="D14" s="5">
        <v>1.32037</v>
      </c>
      <c r="E14" s="6">
        <v>3.8999999999999999E-5</v>
      </c>
      <c r="F14" s="7">
        <f t="shared" si="0"/>
        <v>5.1494429999999998</v>
      </c>
      <c r="G14" s="8">
        <v>5.9075100000000004E-3</v>
      </c>
      <c r="H14" s="6">
        <v>8.3199999999999993E-3</v>
      </c>
      <c r="I14" s="7">
        <f t="shared" si="1"/>
        <v>590.75100000000009</v>
      </c>
      <c r="J14" s="7">
        <f t="shared" si="2"/>
        <v>4.9150483200000004</v>
      </c>
    </row>
    <row r="15" spans="3:10" x14ac:dyDescent="0.25">
      <c r="C15" s="4">
        <v>3500</v>
      </c>
      <c r="D15" s="5">
        <v>1.30471</v>
      </c>
      <c r="E15" s="6">
        <v>3.8999999999999999E-5</v>
      </c>
      <c r="F15" s="7">
        <f t="shared" si="0"/>
        <v>5.0883690000000001</v>
      </c>
      <c r="G15" s="8">
        <v>5.7417700000000002E-3</v>
      </c>
      <c r="H15" s="6">
        <v>8.7600000000000004E-3</v>
      </c>
      <c r="I15" s="7">
        <f t="shared" si="1"/>
        <v>574.17700000000002</v>
      </c>
      <c r="J15" s="7">
        <f t="shared" si="2"/>
        <v>5.0297905200000006</v>
      </c>
    </row>
    <row r="16" spans="3:10" x14ac:dyDescent="0.25">
      <c r="C16" s="4">
        <v>4000</v>
      </c>
      <c r="D16" s="5">
        <v>1.2889600000000001</v>
      </c>
      <c r="E16" s="6">
        <v>4.1E-5</v>
      </c>
      <c r="F16" s="7">
        <f t="shared" si="0"/>
        <v>5.2847359999999997</v>
      </c>
      <c r="G16" s="8">
        <v>5.6856399999999996E-3</v>
      </c>
      <c r="H16" s="6">
        <v>8.8500000000000002E-3</v>
      </c>
      <c r="I16" s="7">
        <f t="shared" si="1"/>
        <v>568.56399999999996</v>
      </c>
      <c r="J16" s="7">
        <f t="shared" si="2"/>
        <v>5.0317914000000004</v>
      </c>
    </row>
    <row r="17" spans="3:15" x14ac:dyDescent="0.25">
      <c r="C17" s="4">
        <v>4500</v>
      </c>
      <c r="D17" s="5">
        <v>1.2730600000000001</v>
      </c>
      <c r="E17" s="6">
        <v>4.3000000000000002E-5</v>
      </c>
      <c r="F17" s="7">
        <f t="shared" si="0"/>
        <v>5.4741580000000001</v>
      </c>
      <c r="G17" s="8">
        <v>5.5311600000000002E-3</v>
      </c>
      <c r="H17" s="6">
        <v>9.11E-3</v>
      </c>
      <c r="I17" s="7">
        <f t="shared" si="1"/>
        <v>553.11599999999999</v>
      </c>
      <c r="J17" s="7">
        <f t="shared" si="2"/>
        <v>5.0388867600000005</v>
      </c>
    </row>
    <row r="18" spans="3:15" x14ac:dyDescent="0.25">
      <c r="C18" s="4">
        <v>5000</v>
      </c>
      <c r="D18" s="5">
        <v>1.2573000000000001</v>
      </c>
      <c r="E18" s="8">
        <v>4.5000000000000003E-5</v>
      </c>
      <c r="F18" s="7">
        <f t="shared" si="0"/>
        <v>5.6578500000000007</v>
      </c>
      <c r="G18" s="8">
        <v>5.2914499999999996E-3</v>
      </c>
      <c r="H18" s="6">
        <v>9.3600000000000003E-3</v>
      </c>
      <c r="I18" s="7">
        <f t="shared" si="1"/>
        <v>529.14499999999998</v>
      </c>
      <c r="J18" s="7">
        <f t="shared" si="2"/>
        <v>4.9527972</v>
      </c>
    </row>
    <row r="19" spans="3:15" x14ac:dyDescent="0.25">
      <c r="C19" s="4">
        <v>5500</v>
      </c>
      <c r="D19" s="5">
        <v>1.2415499999999999</v>
      </c>
      <c r="E19" s="8">
        <v>4.6E-5</v>
      </c>
      <c r="F19" s="7">
        <f t="shared" si="0"/>
        <v>5.7111299999999989</v>
      </c>
      <c r="G19" s="8">
        <v>5.2261900000000003E-3</v>
      </c>
      <c r="H19" s="6">
        <v>9.5300000000000003E-3</v>
      </c>
      <c r="I19" s="7">
        <f t="shared" si="1"/>
        <v>522.61900000000003</v>
      </c>
      <c r="J19" s="7">
        <f t="shared" si="2"/>
        <v>4.98055907</v>
      </c>
    </row>
    <row r="20" spans="3:15" x14ac:dyDescent="0.25">
      <c r="C20" s="4">
        <v>6000</v>
      </c>
      <c r="D20" s="5">
        <v>1.2259500000000001</v>
      </c>
      <c r="E20" s="8">
        <v>4.6999999999999997E-5</v>
      </c>
      <c r="F20" s="7">
        <f t="shared" si="0"/>
        <v>5.761965</v>
      </c>
      <c r="G20" s="8">
        <v>4.9971099999999999E-3</v>
      </c>
      <c r="H20" s="6">
        <v>9.9900000000000006E-3</v>
      </c>
      <c r="I20" s="7">
        <f t="shared" si="1"/>
        <v>499.71100000000001</v>
      </c>
      <c r="J20" s="7">
        <f t="shared" si="2"/>
        <v>4.9921128899999996</v>
      </c>
    </row>
    <row r="21" spans="3:15" x14ac:dyDescent="0.25">
      <c r="C21" s="4">
        <v>6500</v>
      </c>
      <c r="D21" s="5">
        <v>1.2106399999999999</v>
      </c>
      <c r="E21" s="8">
        <v>4.8999999999999998E-5</v>
      </c>
      <c r="F21" s="7">
        <f t="shared" si="0"/>
        <v>5.932135999999999</v>
      </c>
      <c r="G21" s="8">
        <v>4.8783100000000003E-3</v>
      </c>
      <c r="H21" s="6">
        <v>1.0410000000000001E-2</v>
      </c>
      <c r="I21" s="7">
        <f t="shared" si="1"/>
        <v>487.83100000000002</v>
      </c>
      <c r="J21" s="7">
        <f t="shared" si="2"/>
        <v>5.0783207100000007</v>
      </c>
    </row>
    <row r="22" spans="3:15" x14ac:dyDescent="0.25">
      <c r="C22" s="4">
        <v>7000</v>
      </c>
      <c r="D22" s="5">
        <v>1.1955</v>
      </c>
      <c r="E22" s="8">
        <v>5.1E-5</v>
      </c>
      <c r="F22" s="7">
        <f t="shared" si="0"/>
        <v>6.0970499999999994</v>
      </c>
      <c r="G22" s="8">
        <v>4.7091099999999999E-3</v>
      </c>
      <c r="H22" s="6">
        <v>1.107E-2</v>
      </c>
      <c r="I22" s="7">
        <f t="shared" si="1"/>
        <v>470.911</v>
      </c>
      <c r="J22" s="7">
        <f t="shared" si="2"/>
        <v>5.2129847700000003</v>
      </c>
    </row>
    <row r="24" spans="3:15" ht="18.75" x14ac:dyDescent="0.3">
      <c r="C24" s="26" t="s">
        <v>59</v>
      </c>
      <c r="D24" s="27"/>
      <c r="E24" s="27"/>
      <c r="F24" s="27"/>
      <c r="G24" s="27"/>
      <c r="H24" s="27"/>
      <c r="I24" s="27"/>
      <c r="J24" s="28"/>
      <c r="L24" s="25" t="s">
        <v>9</v>
      </c>
      <c r="M24" s="23" t="s">
        <v>10</v>
      </c>
      <c r="O24" s="17" t="s">
        <v>62</v>
      </c>
    </row>
    <row r="25" spans="3:15" ht="18.75" x14ac:dyDescent="0.3"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4</v>
      </c>
      <c r="I25" s="3" t="s">
        <v>7</v>
      </c>
      <c r="J25" s="3" t="s">
        <v>5</v>
      </c>
      <c r="L25" s="25"/>
      <c r="M25" s="23"/>
      <c r="O25" s="16" t="s">
        <v>63</v>
      </c>
    </row>
    <row r="26" spans="3:15" ht="18.75" x14ac:dyDescent="0.3">
      <c r="C26" s="4">
        <v>0</v>
      </c>
      <c r="D26" s="5">
        <v>1.4080299999999999</v>
      </c>
      <c r="E26" s="6">
        <v>3.1999999999999999E-5</v>
      </c>
      <c r="F26" s="7">
        <f>E26*100000*D26</f>
        <v>4.5056959999999995</v>
      </c>
      <c r="G26" s="8">
        <v>6.7909299999999997E-3</v>
      </c>
      <c r="H26" s="6">
        <v>7.3200000000000001E-3</v>
      </c>
      <c r="I26" s="7">
        <f>G26*100000</f>
        <v>679.09299999999996</v>
      </c>
      <c r="J26" s="7">
        <f>G26*H26*100000</f>
        <v>4.9709607599999996</v>
      </c>
      <c r="L26" s="7">
        <f>(1/D7-1/D26)*100000</f>
        <v>4.0354395560271428</v>
      </c>
      <c r="M26" s="7">
        <f>SQRT(1/D26^4*F26^2+1/D7^4*F7^2)*2</f>
        <v>6.4282891285770472</v>
      </c>
      <c r="O26" s="14" t="s">
        <v>64</v>
      </c>
    </row>
    <row r="27" spans="3:15" ht="18.75" x14ac:dyDescent="0.3">
      <c r="C27" s="4">
        <v>250</v>
      </c>
      <c r="D27" s="5">
        <v>1.4012199999999999</v>
      </c>
      <c r="E27" s="6">
        <v>3.1999999999999999E-5</v>
      </c>
      <c r="F27" s="7">
        <f t="shared" ref="F27:F41" si="3">E27*100000*D27</f>
        <v>4.483903999999999</v>
      </c>
      <c r="G27" s="8">
        <v>6.8385599999999996E-3</v>
      </c>
      <c r="H27" s="6">
        <v>7.3000000000000001E-3</v>
      </c>
      <c r="I27" s="7">
        <f t="shared" ref="I27:I41" si="4">G27*100000</f>
        <v>683.85599999999999</v>
      </c>
      <c r="J27" s="7">
        <f t="shared" ref="J27:J41" si="5">G27*H27*100000</f>
        <v>4.9921487999999998</v>
      </c>
      <c r="L27" s="7">
        <f t="shared" ref="L27:L41" si="6">(1/D8-1/D27)*100000</f>
        <v>1.0186465989936444</v>
      </c>
      <c r="M27" s="7">
        <f t="shared" ref="M27:M41" si="7">SQRT(1/D27^4*F27^2+1/D8^4*F8^2)*2</f>
        <v>6.4593935240822482</v>
      </c>
      <c r="O27" s="18" t="s">
        <v>65</v>
      </c>
    </row>
    <row r="28" spans="3:15" x14ac:dyDescent="0.25">
      <c r="C28" s="4">
        <v>500</v>
      </c>
      <c r="D28" s="5">
        <v>1.3943000000000001</v>
      </c>
      <c r="E28" s="6">
        <v>3.3000000000000003E-5</v>
      </c>
      <c r="F28" s="7">
        <f t="shared" si="3"/>
        <v>4.6011900000000008</v>
      </c>
      <c r="G28" s="8">
        <v>6.6478099999999997E-3</v>
      </c>
      <c r="H28" s="6">
        <v>7.5900000000000004E-3</v>
      </c>
      <c r="I28" s="7">
        <f t="shared" si="4"/>
        <v>664.78099999999995</v>
      </c>
      <c r="J28" s="7">
        <f t="shared" si="5"/>
        <v>5.0456877900000006</v>
      </c>
      <c r="L28" s="7">
        <f t="shared" si="6"/>
        <v>1.5431855372449732</v>
      </c>
      <c r="M28" s="7">
        <f t="shared" si="7"/>
        <v>6.6943340230174293</v>
      </c>
    </row>
    <row r="29" spans="3:15" x14ac:dyDescent="0.25">
      <c r="C29" s="4">
        <v>1000</v>
      </c>
      <c r="D29" s="5">
        <v>1.3802399999999999</v>
      </c>
      <c r="E29" s="6">
        <v>3.4E-5</v>
      </c>
      <c r="F29" s="7">
        <f t="shared" si="3"/>
        <v>4.6928159999999997</v>
      </c>
      <c r="G29" s="8">
        <v>6.5825800000000002E-3</v>
      </c>
      <c r="H29" s="6">
        <v>7.6899999999999998E-3</v>
      </c>
      <c r="I29" s="7">
        <f t="shared" si="4"/>
        <v>658.25800000000004</v>
      </c>
      <c r="J29" s="7">
        <f t="shared" si="5"/>
        <v>5.0620040199999998</v>
      </c>
      <c r="L29" s="7">
        <f t="shared" si="6"/>
        <v>-2.099607845162943</v>
      </c>
      <c r="M29" s="7">
        <f t="shared" si="7"/>
        <v>6.8655835084045487</v>
      </c>
    </row>
    <row r="30" spans="3:15" x14ac:dyDescent="0.25">
      <c r="C30" s="4">
        <v>1500</v>
      </c>
      <c r="D30" s="5">
        <v>1.3657699999999999</v>
      </c>
      <c r="E30" s="6">
        <v>3.4999999999999997E-5</v>
      </c>
      <c r="F30" s="7">
        <f t="shared" si="3"/>
        <v>4.7801949999999991</v>
      </c>
      <c r="G30" s="8">
        <v>6.3861500000000002E-3</v>
      </c>
      <c r="H30" s="6">
        <v>7.8499999999999993E-3</v>
      </c>
      <c r="I30" s="7">
        <f t="shared" si="4"/>
        <v>638.61500000000001</v>
      </c>
      <c r="J30" s="7">
        <f t="shared" si="5"/>
        <v>5.0131277499999998</v>
      </c>
      <c r="L30" s="7">
        <f t="shared" si="6"/>
        <v>-5.3605958373781348</v>
      </c>
      <c r="M30" s="7">
        <f t="shared" si="7"/>
        <v>7.248023133730551</v>
      </c>
    </row>
    <row r="31" spans="3:15" x14ac:dyDescent="0.25">
      <c r="C31" s="4">
        <v>2000</v>
      </c>
      <c r="D31" s="5">
        <v>1.3509500000000001</v>
      </c>
      <c r="E31" s="6">
        <v>3.6000000000000001E-5</v>
      </c>
      <c r="F31" s="7">
        <f t="shared" si="3"/>
        <v>4.8634200000000005</v>
      </c>
      <c r="G31" s="8">
        <v>6.2608899999999999E-3</v>
      </c>
      <c r="H31" s="6">
        <v>8.0999999999999996E-3</v>
      </c>
      <c r="I31" s="7">
        <f t="shared" si="4"/>
        <v>626.08899999999994</v>
      </c>
      <c r="J31" s="7">
        <f t="shared" si="5"/>
        <v>5.0713208999999999</v>
      </c>
      <c r="L31" s="7">
        <f t="shared" si="6"/>
        <v>0</v>
      </c>
      <c r="M31" s="7">
        <f t="shared" si="7"/>
        <v>7.5371683993384542</v>
      </c>
    </row>
    <row r="32" spans="3:15" x14ac:dyDescent="0.25">
      <c r="C32" s="4">
        <v>2500</v>
      </c>
      <c r="D32" s="5">
        <v>1.33585</v>
      </c>
      <c r="E32" s="6">
        <v>3.8000000000000002E-5</v>
      </c>
      <c r="F32" s="7">
        <f t="shared" si="3"/>
        <v>5.0762300000000007</v>
      </c>
      <c r="G32" s="8">
        <v>6.1490599999999996E-3</v>
      </c>
      <c r="H32" s="6">
        <v>8.1899999999999994E-3</v>
      </c>
      <c r="I32" s="7">
        <f t="shared" si="4"/>
        <v>614.90599999999995</v>
      </c>
      <c r="J32" s="7">
        <f t="shared" si="5"/>
        <v>5.0360801399999993</v>
      </c>
      <c r="L32" s="7">
        <f t="shared" si="6"/>
        <v>-3.3621443448650368</v>
      </c>
      <c r="M32" s="7">
        <f t="shared" si="7"/>
        <v>8.0456501198956598</v>
      </c>
    </row>
    <row r="33" spans="3:13" x14ac:dyDescent="0.25">
      <c r="C33" s="4">
        <v>3000</v>
      </c>
      <c r="D33" s="5">
        <v>1.3204100000000001</v>
      </c>
      <c r="E33" s="6">
        <v>3.8999999999999999E-5</v>
      </c>
      <c r="F33" s="7">
        <f t="shared" si="3"/>
        <v>5.1495990000000003</v>
      </c>
      <c r="G33" s="8">
        <v>5.9230300000000001E-3</v>
      </c>
      <c r="H33" s="6">
        <v>8.4100000000000008E-3</v>
      </c>
      <c r="I33" s="7">
        <f t="shared" si="4"/>
        <v>592.303</v>
      </c>
      <c r="J33" s="7">
        <f t="shared" si="5"/>
        <v>4.9812682300000004</v>
      </c>
      <c r="L33" s="7">
        <f t="shared" si="6"/>
        <v>2.2943281747345168</v>
      </c>
      <c r="M33" s="7">
        <f t="shared" si="7"/>
        <v>8.3542482072012092</v>
      </c>
    </row>
    <row r="34" spans="3:13" x14ac:dyDescent="0.25">
      <c r="C34" s="4">
        <v>3500</v>
      </c>
      <c r="D34" s="5">
        <v>1.3047500000000001</v>
      </c>
      <c r="E34" s="6">
        <v>4.0000000000000003E-5</v>
      </c>
      <c r="F34" s="7">
        <f t="shared" si="3"/>
        <v>5.2190000000000003</v>
      </c>
      <c r="G34" s="8">
        <v>5.8223299999999997E-3</v>
      </c>
      <c r="H34" s="6">
        <v>8.7899999999999992E-3</v>
      </c>
      <c r="I34" s="7">
        <f t="shared" si="4"/>
        <v>582.23299999999995</v>
      </c>
      <c r="J34" s="7">
        <f t="shared" si="5"/>
        <v>5.117828069999999</v>
      </c>
      <c r="L34" s="7">
        <f t="shared" si="6"/>
        <v>2.3497339658451466</v>
      </c>
      <c r="M34" s="7">
        <f t="shared" si="7"/>
        <v>8.5635938833352956</v>
      </c>
    </row>
    <row r="35" spans="3:13" x14ac:dyDescent="0.25">
      <c r="C35" s="4">
        <v>4000</v>
      </c>
      <c r="D35" s="5">
        <v>1.28901</v>
      </c>
      <c r="E35" s="6">
        <v>4.1999999999999998E-5</v>
      </c>
      <c r="F35" s="7">
        <f t="shared" si="3"/>
        <v>5.4138419999999998</v>
      </c>
      <c r="G35" s="8">
        <v>5.6194499999999998E-3</v>
      </c>
      <c r="H35" s="6">
        <v>9.0399999999999994E-3</v>
      </c>
      <c r="I35" s="7">
        <f t="shared" si="4"/>
        <v>561.94499999999994</v>
      </c>
      <c r="J35" s="7">
        <f t="shared" si="5"/>
        <v>5.0799827999999998</v>
      </c>
      <c r="L35" s="7">
        <f t="shared" si="6"/>
        <v>3.0093609248327269</v>
      </c>
      <c r="M35" s="7">
        <f t="shared" si="7"/>
        <v>9.107025290379358</v>
      </c>
    </row>
    <row r="36" spans="3:13" x14ac:dyDescent="0.25">
      <c r="C36" s="4">
        <v>4500</v>
      </c>
      <c r="D36" s="5">
        <v>1.2730600000000001</v>
      </c>
      <c r="E36" s="6">
        <v>4.3000000000000002E-5</v>
      </c>
      <c r="F36" s="7">
        <f t="shared" si="3"/>
        <v>5.4741580000000001</v>
      </c>
      <c r="G36" s="8">
        <v>5.4772199999999997E-3</v>
      </c>
      <c r="H36" s="6">
        <v>9.1800000000000007E-3</v>
      </c>
      <c r="I36" s="7">
        <f t="shared" si="4"/>
        <v>547.72199999999998</v>
      </c>
      <c r="J36" s="7">
        <f t="shared" si="5"/>
        <v>5.0280879599999997</v>
      </c>
      <c r="L36" s="7">
        <f t="shared" si="6"/>
        <v>0</v>
      </c>
      <c r="M36" s="7">
        <f t="shared" si="7"/>
        <v>9.5535455017113229</v>
      </c>
    </row>
    <row r="37" spans="3:13" x14ac:dyDescent="0.25">
      <c r="C37" s="4">
        <v>5000</v>
      </c>
      <c r="D37" s="5">
        <v>1.25722</v>
      </c>
      <c r="E37" s="8">
        <v>4.3000000000000002E-5</v>
      </c>
      <c r="F37" s="7">
        <f t="shared" si="3"/>
        <v>5.4060459999999999</v>
      </c>
      <c r="G37" s="8">
        <v>5.3882599999999998E-3</v>
      </c>
      <c r="H37" s="6">
        <v>9.5499999999999995E-3</v>
      </c>
      <c r="I37" s="7">
        <f t="shared" si="4"/>
        <v>538.82600000000002</v>
      </c>
      <c r="J37" s="7">
        <f t="shared" si="5"/>
        <v>5.1457882999999995</v>
      </c>
      <c r="L37" s="7">
        <f t="shared" si="6"/>
        <v>-5.0610402383965969</v>
      </c>
      <c r="M37" s="7">
        <f t="shared" si="7"/>
        <v>9.9011143930494487</v>
      </c>
    </row>
    <row r="38" spans="3:13" x14ac:dyDescent="0.25">
      <c r="C38" s="4">
        <v>5500</v>
      </c>
      <c r="D38" s="5">
        <v>1.2415400000000001</v>
      </c>
      <c r="E38" s="8">
        <v>4.5000000000000003E-5</v>
      </c>
      <c r="F38" s="7">
        <f t="shared" si="3"/>
        <v>5.5869300000000006</v>
      </c>
      <c r="G38" s="8">
        <v>5.1938699999999997E-3</v>
      </c>
      <c r="H38" s="6">
        <v>9.8600000000000007E-3</v>
      </c>
      <c r="I38" s="7">
        <f t="shared" si="4"/>
        <v>519.38699999999994</v>
      </c>
      <c r="J38" s="7">
        <f t="shared" si="5"/>
        <v>5.1211558199999994</v>
      </c>
      <c r="L38" s="7">
        <f t="shared" si="6"/>
        <v>-0.64874656223734561</v>
      </c>
      <c r="M38" s="7">
        <f t="shared" si="7"/>
        <v>10.366212498027217</v>
      </c>
    </row>
    <row r="39" spans="3:13" x14ac:dyDescent="0.25">
      <c r="C39" s="4">
        <v>6000</v>
      </c>
      <c r="D39" s="5">
        <v>1.2258599999999999</v>
      </c>
      <c r="E39" s="8">
        <v>4.6E-5</v>
      </c>
      <c r="F39" s="7">
        <f t="shared" si="3"/>
        <v>5.6389559999999994</v>
      </c>
      <c r="G39" s="8">
        <v>4.9496899999999996E-3</v>
      </c>
      <c r="H39" s="6">
        <v>1.004E-2</v>
      </c>
      <c r="I39" s="7">
        <f t="shared" si="4"/>
        <v>494.96899999999994</v>
      </c>
      <c r="J39" s="7">
        <f t="shared" si="5"/>
        <v>4.9694887599999999</v>
      </c>
      <c r="L39" s="7">
        <f t="shared" si="6"/>
        <v>-5.988649245969313</v>
      </c>
      <c r="M39" s="7">
        <f t="shared" si="7"/>
        <v>10.729164235953149</v>
      </c>
    </row>
    <row r="40" spans="3:13" x14ac:dyDescent="0.25">
      <c r="C40" s="4">
        <v>6500</v>
      </c>
      <c r="D40" s="5">
        <v>1.21058</v>
      </c>
      <c r="E40" s="8">
        <v>4.8000000000000001E-5</v>
      </c>
      <c r="F40" s="7">
        <f t="shared" si="3"/>
        <v>5.8107839999999999</v>
      </c>
      <c r="G40" s="8">
        <v>4.8812600000000001E-3</v>
      </c>
      <c r="H40" s="6">
        <v>1.026E-2</v>
      </c>
      <c r="I40" s="7">
        <f t="shared" si="4"/>
        <v>488.12600000000003</v>
      </c>
      <c r="J40" s="7">
        <f t="shared" si="5"/>
        <v>5.0081727599999999</v>
      </c>
      <c r="L40" s="7">
        <f t="shared" si="6"/>
        <v>-4.0939519080018805</v>
      </c>
      <c r="M40" s="7">
        <f t="shared" si="7"/>
        <v>11.331967781222421</v>
      </c>
    </row>
    <row r="41" spans="3:13" x14ac:dyDescent="0.25">
      <c r="C41" s="4">
        <v>7000</v>
      </c>
      <c r="D41" s="5">
        <v>1.1956500000000001</v>
      </c>
      <c r="E41" s="8">
        <v>5.0000000000000002E-5</v>
      </c>
      <c r="F41" s="7">
        <f t="shared" si="3"/>
        <v>5.978250000000001</v>
      </c>
      <c r="G41" s="8">
        <v>4.6555900000000002E-3</v>
      </c>
      <c r="H41" s="6">
        <v>1.069E-2</v>
      </c>
      <c r="I41" s="7">
        <f t="shared" si="4"/>
        <v>465.55900000000003</v>
      </c>
      <c r="J41" s="7">
        <f t="shared" si="5"/>
        <v>4.97682571</v>
      </c>
      <c r="L41" s="7">
        <f t="shared" si="6"/>
        <v>10.493916650289314</v>
      </c>
      <c r="M41" s="7">
        <f t="shared" si="7"/>
        <v>11.947619258573821</v>
      </c>
    </row>
    <row r="43" spans="3:13" x14ac:dyDescent="0.25">
      <c r="C43" s="24" t="s">
        <v>60</v>
      </c>
      <c r="D43" s="24"/>
      <c r="E43" s="24"/>
      <c r="F43" s="24"/>
      <c r="G43" s="24"/>
      <c r="H43" s="24"/>
      <c r="I43" s="24"/>
      <c r="J43" s="24"/>
      <c r="L43" s="25" t="s">
        <v>9</v>
      </c>
      <c r="M43" s="23" t="s">
        <v>10</v>
      </c>
    </row>
    <row r="44" spans="3:13" x14ac:dyDescent="0.25"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4</v>
      </c>
      <c r="I44" s="3" t="s">
        <v>7</v>
      </c>
      <c r="J44" s="3" t="s">
        <v>5</v>
      </c>
      <c r="L44" s="25"/>
      <c r="M44" s="23"/>
    </row>
    <row r="45" spans="3:13" x14ac:dyDescent="0.25">
      <c r="C45" s="4">
        <v>0</v>
      </c>
      <c r="D45" s="5">
        <v>1.4081600000000001</v>
      </c>
      <c r="E45" s="8">
        <v>1.4999999999999999E-4</v>
      </c>
      <c r="F45" s="7">
        <f>E45*100000</f>
        <v>14.999999999999998</v>
      </c>
      <c r="G45" s="8"/>
      <c r="H45" s="8"/>
      <c r="I45" s="7">
        <f>G45*100000</f>
        <v>0</v>
      </c>
      <c r="J45" s="7">
        <f>H45*100000</f>
        <v>0</v>
      </c>
      <c r="L45" s="7">
        <f>(1/D7-1/D45)*100000</f>
        <v>10.592050896207628</v>
      </c>
      <c r="M45" s="7">
        <f>SQRT(1/D45^4*F45^2+1/D7^4*F7^2)*2</f>
        <v>15.797362752687519</v>
      </c>
    </row>
    <row r="46" spans="3:13" x14ac:dyDescent="0.25">
      <c r="C46" s="4">
        <v>250</v>
      </c>
      <c r="D46" s="5">
        <v>1.40137</v>
      </c>
      <c r="E46" s="8">
        <v>1.6000000000000001E-4</v>
      </c>
      <c r="F46" s="7">
        <f t="shared" ref="F46:F60" si="8">E46*100000</f>
        <v>16</v>
      </c>
      <c r="G46" s="8"/>
      <c r="H46" s="8"/>
      <c r="I46" s="7">
        <f t="shared" ref="I46:J60" si="9">G46*100000</f>
        <v>0</v>
      </c>
      <c r="J46" s="7">
        <f t="shared" si="9"/>
        <v>0</v>
      </c>
      <c r="L46" s="7">
        <f t="shared" ref="L46:L60" si="10">(1/D8-1/D46)*100000</f>
        <v>8.6575693023505096</v>
      </c>
      <c r="M46" s="7">
        <f t="shared" ref="M46:M60" si="11">SQRT(1/D46^4*F46^2+1/D8^4*F8^2)*2</f>
        <v>16.922675755388095</v>
      </c>
    </row>
    <row r="47" spans="3:13" x14ac:dyDescent="0.25">
      <c r="C47" s="4">
        <v>500</v>
      </c>
      <c r="D47" s="5">
        <v>1.3945099999999999</v>
      </c>
      <c r="E47" s="8">
        <v>1.3999999999999999E-4</v>
      </c>
      <c r="F47" s="7">
        <f t="shared" si="8"/>
        <v>13.999999999999998</v>
      </c>
      <c r="G47" s="8"/>
      <c r="H47" s="8"/>
      <c r="I47" s="7">
        <f t="shared" si="9"/>
        <v>0</v>
      </c>
      <c r="J47" s="7">
        <f t="shared" si="9"/>
        <v>0</v>
      </c>
      <c r="L47" s="7">
        <f t="shared" si="10"/>
        <v>12.343625184874085</v>
      </c>
      <c r="M47" s="7">
        <f t="shared" si="11"/>
        <v>15.156581595177146</v>
      </c>
    </row>
    <row r="48" spans="3:13" x14ac:dyDescent="0.25">
      <c r="C48" s="4">
        <v>1000</v>
      </c>
      <c r="D48" s="5">
        <v>1.3806099999999999</v>
      </c>
      <c r="E48" s="8">
        <v>1.3999999999999999E-4</v>
      </c>
      <c r="F48" s="7">
        <f t="shared" si="8"/>
        <v>13.999999999999998</v>
      </c>
      <c r="G48" s="8"/>
      <c r="H48" s="8"/>
      <c r="I48" s="7">
        <f t="shared" si="9"/>
        <v>0</v>
      </c>
      <c r="J48" s="7">
        <f t="shared" si="9"/>
        <v>0</v>
      </c>
      <c r="L48" s="7">
        <f t="shared" si="10"/>
        <v>17.317122533255791</v>
      </c>
      <c r="M48" s="7">
        <f t="shared" si="11"/>
        <v>15.448443579628924</v>
      </c>
    </row>
    <row r="49" spans="3:13" x14ac:dyDescent="0.25">
      <c r="C49" s="4">
        <v>1500</v>
      </c>
      <c r="D49" s="5">
        <v>1.36629</v>
      </c>
      <c r="E49" s="8">
        <v>1.4999999999999999E-4</v>
      </c>
      <c r="F49" s="7">
        <f t="shared" si="8"/>
        <v>14.999999999999998</v>
      </c>
      <c r="G49" s="8"/>
      <c r="H49" s="8"/>
      <c r="I49" s="7">
        <f t="shared" si="9"/>
        <v>0</v>
      </c>
      <c r="J49" s="7">
        <f t="shared" si="9"/>
        <v>0</v>
      </c>
      <c r="L49" s="7">
        <f t="shared" si="10"/>
        <v>22.505933661676192</v>
      </c>
      <c r="M49" s="7">
        <f t="shared" si="11"/>
        <v>16.868112086487638</v>
      </c>
    </row>
    <row r="50" spans="3:13" x14ac:dyDescent="0.25">
      <c r="C50" s="4">
        <v>2000</v>
      </c>
      <c r="D50" s="5">
        <v>1.3515900000000001</v>
      </c>
      <c r="E50" s="8">
        <v>1.6000000000000001E-4</v>
      </c>
      <c r="F50" s="7">
        <f t="shared" si="8"/>
        <v>16</v>
      </c>
      <c r="G50" s="8"/>
      <c r="H50" s="8"/>
      <c r="I50" s="7">
        <f t="shared" si="9"/>
        <v>0</v>
      </c>
      <c r="J50" s="7">
        <f t="shared" si="9"/>
        <v>0</v>
      </c>
      <c r="L50" s="7">
        <f t="shared" si="10"/>
        <v>35.050621933285782</v>
      </c>
      <c r="M50" s="7">
        <f t="shared" si="11"/>
        <v>18.30983830443294</v>
      </c>
    </row>
    <row r="51" spans="3:13" x14ac:dyDescent="0.25">
      <c r="C51" s="4">
        <v>2500</v>
      </c>
      <c r="D51" s="5">
        <v>1.33691</v>
      </c>
      <c r="E51" s="8">
        <v>1.3999999999999999E-4</v>
      </c>
      <c r="F51" s="7">
        <f t="shared" si="8"/>
        <v>13.999999999999998</v>
      </c>
      <c r="G51" s="8"/>
      <c r="H51" s="8"/>
      <c r="I51" s="7">
        <f t="shared" si="9"/>
        <v>0</v>
      </c>
      <c r="J51" s="7">
        <f t="shared" si="9"/>
        <v>0</v>
      </c>
      <c r="L51" s="7">
        <f t="shared" si="10"/>
        <v>55.991309849945381</v>
      </c>
      <c r="M51" s="7">
        <f t="shared" si="11"/>
        <v>16.666833333758415</v>
      </c>
    </row>
    <row r="52" spans="3:13" x14ac:dyDescent="0.25">
      <c r="C52" s="4">
        <v>3000</v>
      </c>
      <c r="D52" s="5">
        <v>1.3216399999999999</v>
      </c>
      <c r="E52" s="8">
        <v>1.4999999999999999E-4</v>
      </c>
      <c r="F52" s="7">
        <f t="shared" si="8"/>
        <v>14.999999999999998</v>
      </c>
      <c r="G52" s="8"/>
      <c r="H52" s="8"/>
      <c r="I52" s="7">
        <f t="shared" si="9"/>
        <v>0</v>
      </c>
      <c r="J52" s="7">
        <f t="shared" si="9"/>
        <v>0</v>
      </c>
      <c r="L52" s="7">
        <f t="shared" si="10"/>
        <v>72.777125556300334</v>
      </c>
      <c r="M52" s="7">
        <f t="shared" si="11"/>
        <v>18.162486470153429</v>
      </c>
    </row>
    <row r="53" spans="3:13" x14ac:dyDescent="0.25">
      <c r="C53" s="4">
        <v>3500</v>
      </c>
      <c r="D53" s="5">
        <v>1.3064199999999999</v>
      </c>
      <c r="E53" s="8">
        <v>1.3999999999999999E-4</v>
      </c>
      <c r="F53" s="7">
        <f t="shared" si="8"/>
        <v>13.999999999999998</v>
      </c>
      <c r="G53" s="8"/>
      <c r="H53" s="8"/>
      <c r="I53" s="7">
        <f t="shared" si="9"/>
        <v>0</v>
      </c>
      <c r="J53" s="7">
        <f t="shared" si="9"/>
        <v>0</v>
      </c>
      <c r="L53" s="7">
        <f t="shared" si="10"/>
        <v>100.3227201090362</v>
      </c>
      <c r="M53" s="7">
        <f t="shared" si="11"/>
        <v>17.460944933813213</v>
      </c>
    </row>
    <row r="54" spans="3:13" x14ac:dyDescent="0.25">
      <c r="C54" s="4">
        <v>4000</v>
      </c>
      <c r="D54" s="5">
        <v>1.29064</v>
      </c>
      <c r="E54" s="8">
        <v>1.3999999999999999E-4</v>
      </c>
      <c r="F54" s="7">
        <f t="shared" si="8"/>
        <v>13.999999999999998</v>
      </c>
      <c r="G54" s="8"/>
      <c r="H54" s="8"/>
      <c r="I54" s="7">
        <f t="shared" si="9"/>
        <v>0</v>
      </c>
      <c r="J54" s="7">
        <f t="shared" si="9"/>
        <v>0</v>
      </c>
      <c r="L54" s="7">
        <f t="shared" si="10"/>
        <v>100.98682556265447</v>
      </c>
      <c r="M54" s="7">
        <f t="shared" si="11"/>
        <v>17.97280250411352</v>
      </c>
    </row>
    <row r="55" spans="3:13" x14ac:dyDescent="0.25">
      <c r="C55" s="4">
        <v>4500</v>
      </c>
      <c r="D55" s="5">
        <v>1.2752699999999999</v>
      </c>
      <c r="E55" s="8">
        <v>1.2999999999999999E-4</v>
      </c>
      <c r="F55" s="7">
        <f t="shared" si="8"/>
        <v>12.999999999999998</v>
      </c>
      <c r="G55" s="8"/>
      <c r="H55" s="8"/>
      <c r="I55" s="7">
        <f t="shared" si="9"/>
        <v>0</v>
      </c>
      <c r="J55" s="7">
        <f t="shared" si="9"/>
        <v>0</v>
      </c>
      <c r="L55" s="7">
        <f t="shared" si="10"/>
        <v>136.12605472037575</v>
      </c>
      <c r="M55" s="7">
        <f t="shared" si="11"/>
        <v>17.355740854712224</v>
      </c>
    </row>
    <row r="56" spans="3:13" x14ac:dyDescent="0.25">
      <c r="C56" s="4">
        <v>5000</v>
      </c>
      <c r="D56" s="5"/>
      <c r="E56" s="8"/>
      <c r="F56" s="7">
        <f t="shared" si="8"/>
        <v>0</v>
      </c>
      <c r="G56" s="8"/>
      <c r="H56" s="8"/>
      <c r="I56" s="7">
        <f t="shared" si="9"/>
        <v>0</v>
      </c>
      <c r="J56" s="7">
        <f t="shared" si="9"/>
        <v>0</v>
      </c>
      <c r="L56" s="7" t="e">
        <f t="shared" si="10"/>
        <v>#DIV/0!</v>
      </c>
      <c r="M56" s="7" t="e">
        <f t="shared" si="11"/>
        <v>#DIV/0!</v>
      </c>
    </row>
    <row r="57" spans="3:13" x14ac:dyDescent="0.25">
      <c r="C57" s="4">
        <v>5500</v>
      </c>
      <c r="D57" s="5"/>
      <c r="E57" s="8"/>
      <c r="F57" s="7">
        <f t="shared" si="8"/>
        <v>0</v>
      </c>
      <c r="G57" s="8"/>
      <c r="H57" s="8"/>
      <c r="I57" s="7">
        <f t="shared" si="9"/>
        <v>0</v>
      </c>
      <c r="J57" s="7">
        <f t="shared" si="9"/>
        <v>0</v>
      </c>
      <c r="L57" s="7" t="e">
        <f t="shared" si="10"/>
        <v>#DIV/0!</v>
      </c>
      <c r="M57" s="7" t="e">
        <f t="shared" si="11"/>
        <v>#DIV/0!</v>
      </c>
    </row>
    <row r="58" spans="3:13" x14ac:dyDescent="0.25">
      <c r="C58" s="4">
        <v>6000</v>
      </c>
      <c r="D58" s="5"/>
      <c r="E58" s="8"/>
      <c r="F58" s="7">
        <f t="shared" si="8"/>
        <v>0</v>
      </c>
      <c r="G58" s="8"/>
      <c r="H58" s="8"/>
      <c r="I58" s="7">
        <f t="shared" si="9"/>
        <v>0</v>
      </c>
      <c r="J58" s="7">
        <f t="shared" si="9"/>
        <v>0</v>
      </c>
      <c r="L58" s="7" t="e">
        <f t="shared" si="10"/>
        <v>#DIV/0!</v>
      </c>
      <c r="M58" s="7" t="e">
        <f t="shared" si="11"/>
        <v>#DIV/0!</v>
      </c>
    </row>
    <row r="59" spans="3:13" x14ac:dyDescent="0.25">
      <c r="C59" s="4">
        <v>6500</v>
      </c>
      <c r="D59" s="5"/>
      <c r="E59" s="8"/>
      <c r="F59" s="7">
        <f t="shared" si="8"/>
        <v>0</v>
      </c>
      <c r="G59" s="8"/>
      <c r="H59" s="8"/>
      <c r="I59" s="7">
        <f t="shared" si="9"/>
        <v>0</v>
      </c>
      <c r="J59" s="7">
        <f t="shared" si="9"/>
        <v>0</v>
      </c>
      <c r="L59" s="7" t="e">
        <f t="shared" si="10"/>
        <v>#DIV/0!</v>
      </c>
      <c r="M59" s="7" t="e">
        <f t="shared" si="11"/>
        <v>#DIV/0!</v>
      </c>
    </row>
    <row r="60" spans="3:13" x14ac:dyDescent="0.25">
      <c r="C60" s="4">
        <v>7000</v>
      </c>
      <c r="D60" s="5"/>
      <c r="E60" s="8"/>
      <c r="F60" s="7">
        <f t="shared" si="8"/>
        <v>0</v>
      </c>
      <c r="G60" s="8"/>
      <c r="H60" s="8"/>
      <c r="I60" s="7">
        <f t="shared" si="9"/>
        <v>0</v>
      </c>
      <c r="J60" s="7">
        <f t="shared" si="9"/>
        <v>0</v>
      </c>
      <c r="L60" s="7" t="e">
        <f t="shared" si="10"/>
        <v>#DIV/0!</v>
      </c>
      <c r="M60" s="7" t="e">
        <f t="shared" si="11"/>
        <v>#DIV/0!</v>
      </c>
    </row>
    <row r="62" spans="3:13" x14ac:dyDescent="0.25">
      <c r="C62" s="24" t="s">
        <v>61</v>
      </c>
      <c r="D62" s="24"/>
      <c r="E62" s="24"/>
      <c r="F62" s="24"/>
      <c r="G62" s="24"/>
      <c r="H62" s="24"/>
      <c r="I62" s="24"/>
      <c r="J62" s="24"/>
      <c r="L62" s="25" t="s">
        <v>9</v>
      </c>
      <c r="M62" s="23" t="s">
        <v>10</v>
      </c>
    </row>
    <row r="63" spans="3:13" x14ac:dyDescent="0.25">
      <c r="C63" s="3" t="s">
        <v>2</v>
      </c>
      <c r="D63" s="3" t="s">
        <v>3</v>
      </c>
      <c r="E63" s="3" t="s">
        <v>4</v>
      </c>
      <c r="F63" s="3" t="s">
        <v>5</v>
      </c>
      <c r="G63" s="3" t="s">
        <v>6</v>
      </c>
      <c r="H63" s="3" t="s">
        <v>4</v>
      </c>
      <c r="I63" s="3" t="s">
        <v>7</v>
      </c>
      <c r="J63" s="3" t="s">
        <v>5</v>
      </c>
      <c r="L63" s="25"/>
      <c r="M63" s="23"/>
    </row>
    <row r="64" spans="3:13" x14ac:dyDescent="0.25">
      <c r="C64" s="4">
        <v>0</v>
      </c>
      <c r="D64" s="5">
        <v>1.4081600000000001</v>
      </c>
      <c r="E64" s="8">
        <v>1.4999999999999999E-4</v>
      </c>
      <c r="F64" s="7">
        <f>E64*100000</f>
        <v>14.999999999999998</v>
      </c>
      <c r="G64" s="8"/>
      <c r="H64" s="8"/>
      <c r="I64" s="7">
        <f>G64*100000</f>
        <v>0</v>
      </c>
      <c r="J64" s="7">
        <f>H64*100000</f>
        <v>0</v>
      </c>
      <c r="L64" s="7">
        <f>(1/D7-1/D64)*100000</f>
        <v>10.592050896207628</v>
      </c>
      <c r="M64" s="7">
        <f>SQRT(1/D64^4*F64^2+1/D7^4*F7^2)*2</f>
        <v>15.797362752687519</v>
      </c>
    </row>
    <row r="65" spans="3:13" x14ac:dyDescent="0.25">
      <c r="C65" s="4">
        <v>250</v>
      </c>
      <c r="D65" s="5">
        <v>1.40113</v>
      </c>
      <c r="E65" s="8">
        <v>1.6000000000000001E-4</v>
      </c>
      <c r="F65" s="7">
        <f t="shared" ref="F65:F79" si="12">E65*100000</f>
        <v>16</v>
      </c>
      <c r="G65" s="8"/>
      <c r="H65" s="8"/>
      <c r="I65" s="7">
        <f t="shared" ref="I65:J79" si="13">G65*100000</f>
        <v>0</v>
      </c>
      <c r="J65" s="7">
        <f t="shared" si="13"/>
        <v>0</v>
      </c>
      <c r="L65" s="7">
        <f t="shared" ref="L65:L79" si="14">(1/D8-1/D65)*100000</f>
        <v>-3.565492107104884</v>
      </c>
      <c r="M65" s="7">
        <f t="shared" ref="M65:M79" si="15">SQRT(1/D65^4*F65^2+1/D8^4*F8^2)*2</f>
        <v>16.928051332252718</v>
      </c>
    </row>
    <row r="66" spans="3:13" x14ac:dyDescent="0.25">
      <c r="C66" s="4">
        <v>500</v>
      </c>
      <c r="D66" s="5">
        <v>1.39428</v>
      </c>
      <c r="E66" s="8">
        <v>1.3999999999999999E-4</v>
      </c>
      <c r="F66" s="7">
        <f t="shared" si="12"/>
        <v>13.999999999999998</v>
      </c>
      <c r="G66" s="8"/>
      <c r="H66" s="8"/>
      <c r="I66" s="7">
        <f t="shared" si="13"/>
        <v>0</v>
      </c>
      <c r="J66" s="7">
        <f t="shared" si="13"/>
        <v>0</v>
      </c>
      <c r="L66" s="7">
        <f t="shared" si="14"/>
        <v>0.51440255772750021</v>
      </c>
      <c r="M66" s="7">
        <f t="shared" si="15"/>
        <v>15.161094736245152</v>
      </c>
    </row>
    <row r="67" spans="3:13" x14ac:dyDescent="0.25">
      <c r="C67" s="4">
        <v>1000</v>
      </c>
      <c r="D67" s="5">
        <v>1.38039</v>
      </c>
      <c r="E67" s="8">
        <v>1.4999999999999999E-4</v>
      </c>
      <c r="F67" s="7">
        <f t="shared" si="12"/>
        <v>14.999999999999998</v>
      </c>
      <c r="G67" s="8"/>
      <c r="H67" s="8"/>
      <c r="I67" s="7">
        <f t="shared" si="13"/>
        <v>0</v>
      </c>
      <c r="J67" s="7">
        <f t="shared" si="13"/>
        <v>0</v>
      </c>
      <c r="L67" s="7">
        <f t="shared" si="14"/>
        <v>5.7732941513233271</v>
      </c>
      <c r="M67" s="7">
        <f t="shared" si="15"/>
        <v>16.454194919892807</v>
      </c>
    </row>
    <row r="68" spans="3:13" x14ac:dyDescent="0.25">
      <c r="C68" s="4">
        <v>1500</v>
      </c>
      <c r="D68" s="5">
        <v>1.3661399999999999</v>
      </c>
      <c r="E68" s="8">
        <v>1.4999999999999999E-4</v>
      </c>
      <c r="F68" s="7">
        <f t="shared" si="12"/>
        <v>14.999999999999998</v>
      </c>
      <c r="G68" s="8"/>
      <c r="H68" s="8"/>
      <c r="I68" s="7">
        <f t="shared" si="13"/>
        <v>0</v>
      </c>
      <c r="J68" s="7">
        <f t="shared" si="13"/>
        <v>0</v>
      </c>
      <c r="L68" s="7">
        <f t="shared" si="14"/>
        <v>14.46968878547894</v>
      </c>
      <c r="M68" s="7">
        <f t="shared" si="15"/>
        <v>16.871474559153153</v>
      </c>
    </row>
    <row r="69" spans="3:13" x14ac:dyDescent="0.25">
      <c r="C69" s="4">
        <v>2000</v>
      </c>
      <c r="D69" s="5">
        <v>1.3509599999999999</v>
      </c>
      <c r="E69" s="8">
        <v>1.4999999999999999E-4</v>
      </c>
      <c r="F69" s="7">
        <f t="shared" si="12"/>
        <v>14.999999999999998</v>
      </c>
      <c r="G69" s="8"/>
      <c r="H69" s="8"/>
      <c r="I69" s="7">
        <f t="shared" si="13"/>
        <v>0</v>
      </c>
      <c r="J69" s="7">
        <f t="shared" si="13"/>
        <v>0</v>
      </c>
      <c r="L69" s="7">
        <f t="shared" si="14"/>
        <v>0.54792136353620791</v>
      </c>
      <c r="M69" s="7">
        <f t="shared" si="15"/>
        <v>17.279944799119257</v>
      </c>
    </row>
    <row r="70" spans="3:13" x14ac:dyDescent="0.25">
      <c r="C70" s="4">
        <v>2500</v>
      </c>
      <c r="D70" s="5">
        <v>1.33602</v>
      </c>
      <c r="E70" s="8">
        <v>1.3999999999999999E-4</v>
      </c>
      <c r="F70" s="7">
        <f t="shared" si="12"/>
        <v>13.999999999999998</v>
      </c>
      <c r="G70" s="8"/>
      <c r="H70" s="8"/>
      <c r="I70" s="7">
        <f t="shared" si="13"/>
        <v>0</v>
      </c>
      <c r="J70" s="7">
        <f t="shared" si="13"/>
        <v>0</v>
      </c>
      <c r="L70" s="7">
        <f t="shared" si="14"/>
        <v>6.1631469780887294</v>
      </c>
      <c r="M70" s="7">
        <f t="shared" si="15"/>
        <v>16.686459688025604</v>
      </c>
    </row>
    <row r="71" spans="3:13" x14ac:dyDescent="0.25">
      <c r="C71" s="4">
        <v>3000</v>
      </c>
      <c r="D71" s="5">
        <v>1.3204800000000001</v>
      </c>
      <c r="E71" s="8">
        <v>1.6000000000000001E-4</v>
      </c>
      <c r="F71" s="7">
        <f t="shared" si="12"/>
        <v>16</v>
      </c>
      <c r="G71" s="8"/>
      <c r="H71" s="8"/>
      <c r="I71" s="7">
        <f t="shared" si="13"/>
        <v>0</v>
      </c>
      <c r="J71" s="7">
        <f t="shared" si="13"/>
        <v>0</v>
      </c>
      <c r="L71" s="7">
        <f t="shared" si="14"/>
        <v>6.3090680126220988</v>
      </c>
      <c r="M71" s="7">
        <f t="shared" si="15"/>
        <v>19.279476785896041</v>
      </c>
    </row>
    <row r="72" spans="3:13" x14ac:dyDescent="0.25">
      <c r="C72" s="4">
        <v>3500</v>
      </c>
      <c r="D72" s="5">
        <v>1.30474</v>
      </c>
      <c r="E72" s="8">
        <v>1.2999999999999999E-4</v>
      </c>
      <c r="F72" s="7">
        <f t="shared" si="12"/>
        <v>12.999999999999998</v>
      </c>
      <c r="G72" s="8"/>
      <c r="H72" s="8"/>
      <c r="I72" s="7">
        <f t="shared" si="13"/>
        <v>0</v>
      </c>
      <c r="J72" s="7">
        <f t="shared" si="13"/>
        <v>0</v>
      </c>
      <c r="L72" s="7">
        <f t="shared" si="14"/>
        <v>1.7623139812905642</v>
      </c>
      <c r="M72" s="7">
        <f t="shared" si="15"/>
        <v>16.401408415316624</v>
      </c>
    </row>
    <row r="73" spans="3:13" x14ac:dyDescent="0.25">
      <c r="C73" s="4">
        <v>4000</v>
      </c>
      <c r="D73" s="5">
        <v>1.28925</v>
      </c>
      <c r="E73" s="8">
        <v>1.4999999999999999E-4</v>
      </c>
      <c r="F73" s="7">
        <f t="shared" si="12"/>
        <v>14.999999999999998</v>
      </c>
      <c r="G73" s="8"/>
      <c r="H73" s="8"/>
      <c r="I73" s="7">
        <f t="shared" si="13"/>
        <v>0</v>
      </c>
      <c r="J73" s="7">
        <f t="shared" si="13"/>
        <v>0</v>
      </c>
      <c r="L73" s="7">
        <f t="shared" si="14"/>
        <v>17.451044164573659</v>
      </c>
      <c r="M73" s="7">
        <f t="shared" si="15"/>
        <v>19.137100090013092</v>
      </c>
    </row>
    <row r="74" spans="3:13" x14ac:dyDescent="0.25">
      <c r="C74" s="4">
        <v>4500</v>
      </c>
      <c r="D74" s="5">
        <v>1.2734799999999999</v>
      </c>
      <c r="E74" s="8">
        <v>1.3999999999999999E-4</v>
      </c>
      <c r="F74" s="7">
        <f t="shared" si="12"/>
        <v>13.999999999999998</v>
      </c>
      <c r="G74" s="8"/>
      <c r="H74" s="8"/>
      <c r="I74" s="7">
        <f t="shared" si="13"/>
        <v>0</v>
      </c>
      <c r="J74" s="7">
        <f t="shared" si="13"/>
        <v>0</v>
      </c>
      <c r="L74" s="7">
        <f t="shared" si="14"/>
        <v>25.906472902537114</v>
      </c>
      <c r="M74" s="7">
        <f t="shared" si="15"/>
        <v>18.53982773215369</v>
      </c>
    </row>
    <row r="75" spans="3:13" x14ac:dyDescent="0.25">
      <c r="C75" s="4">
        <v>5000</v>
      </c>
      <c r="D75" s="5">
        <v>1.25708</v>
      </c>
      <c r="E75" s="8">
        <v>1.3999999999999999E-4</v>
      </c>
      <c r="F75" s="7">
        <f t="shared" si="12"/>
        <v>13.999999999999998</v>
      </c>
      <c r="G75" s="8"/>
      <c r="H75" s="8"/>
      <c r="I75" s="7">
        <f t="shared" si="13"/>
        <v>0</v>
      </c>
      <c r="J75" s="7">
        <f t="shared" si="13"/>
        <v>0</v>
      </c>
      <c r="L75" s="7">
        <f t="shared" si="14"/>
        <v>-13.91941067665492</v>
      </c>
      <c r="M75" s="7">
        <f t="shared" si="15"/>
        <v>19.110012999980089</v>
      </c>
    </row>
    <row r="76" spans="3:13" x14ac:dyDescent="0.25">
      <c r="C76" s="4">
        <v>5500</v>
      </c>
      <c r="D76" s="5"/>
      <c r="E76" s="8"/>
      <c r="F76" s="7">
        <f t="shared" si="12"/>
        <v>0</v>
      </c>
      <c r="G76" s="8"/>
      <c r="H76" s="8"/>
      <c r="I76" s="7">
        <f t="shared" si="13"/>
        <v>0</v>
      </c>
      <c r="J76" s="7">
        <f t="shared" si="13"/>
        <v>0</v>
      </c>
      <c r="L76" s="7" t="e">
        <f t="shared" si="14"/>
        <v>#DIV/0!</v>
      </c>
      <c r="M76" s="7" t="e">
        <f t="shared" si="15"/>
        <v>#DIV/0!</v>
      </c>
    </row>
    <row r="77" spans="3:13" x14ac:dyDescent="0.25">
      <c r="C77" s="4">
        <v>6000</v>
      </c>
      <c r="D77" s="5"/>
      <c r="E77" s="8"/>
      <c r="F77" s="7">
        <f t="shared" si="12"/>
        <v>0</v>
      </c>
      <c r="G77" s="8"/>
      <c r="H77" s="8"/>
      <c r="I77" s="7">
        <f t="shared" si="13"/>
        <v>0</v>
      </c>
      <c r="J77" s="7">
        <f t="shared" si="13"/>
        <v>0</v>
      </c>
      <c r="L77" s="7" t="e">
        <f t="shared" si="14"/>
        <v>#DIV/0!</v>
      </c>
      <c r="M77" s="7" t="e">
        <f t="shared" si="15"/>
        <v>#DIV/0!</v>
      </c>
    </row>
    <row r="78" spans="3:13" x14ac:dyDescent="0.25">
      <c r="C78" s="4">
        <v>6500</v>
      </c>
      <c r="D78" s="5"/>
      <c r="E78" s="8"/>
      <c r="F78" s="7">
        <f t="shared" si="12"/>
        <v>0</v>
      </c>
      <c r="G78" s="8"/>
      <c r="H78" s="8"/>
      <c r="I78" s="7">
        <f t="shared" si="13"/>
        <v>0</v>
      </c>
      <c r="J78" s="7">
        <f t="shared" si="13"/>
        <v>0</v>
      </c>
      <c r="L78" s="7" t="e">
        <f t="shared" si="14"/>
        <v>#DIV/0!</v>
      </c>
      <c r="M78" s="7" t="e">
        <f t="shared" si="15"/>
        <v>#DIV/0!</v>
      </c>
    </row>
    <row r="79" spans="3:13" x14ac:dyDescent="0.25">
      <c r="C79" s="4">
        <v>7000</v>
      </c>
      <c r="D79" s="5"/>
      <c r="E79" s="8"/>
      <c r="F79" s="7">
        <f t="shared" si="12"/>
        <v>0</v>
      </c>
      <c r="G79" s="8"/>
      <c r="H79" s="8"/>
      <c r="I79" s="7">
        <f t="shared" si="13"/>
        <v>0</v>
      </c>
      <c r="J79" s="7">
        <f t="shared" si="13"/>
        <v>0</v>
      </c>
      <c r="L79" s="7" t="e">
        <f t="shared" si="14"/>
        <v>#DIV/0!</v>
      </c>
      <c r="M79" s="7" t="e">
        <f t="shared" si="15"/>
        <v>#DIV/0!</v>
      </c>
    </row>
  </sheetData>
  <mergeCells count="10">
    <mergeCell ref="C62:J62"/>
    <mergeCell ref="L62:L63"/>
    <mergeCell ref="M62:M63"/>
    <mergeCell ref="C5:J5"/>
    <mergeCell ref="C24:J24"/>
    <mergeCell ref="L24:L25"/>
    <mergeCell ref="M24:M25"/>
    <mergeCell ref="C43:J43"/>
    <mergeCell ref="L43:L44"/>
    <mergeCell ref="M43:M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8026-C36F-4894-848A-23E635DCCBD7}">
  <dimension ref="C2:N121"/>
  <sheetViews>
    <sheetView zoomScale="85" zoomScaleNormal="85" workbookViewId="0">
      <selection activeCell="X43" sqref="X43"/>
    </sheetView>
  </sheetViews>
  <sheetFormatPr defaultRowHeight="15" x14ac:dyDescent="0.25"/>
  <cols>
    <col min="1" max="3" width="9" style="2"/>
    <col min="4" max="4" width="9.25" style="2" customWidth="1"/>
    <col min="5" max="6" width="9" style="2"/>
    <col min="7" max="7" width="9.375" style="2" customWidth="1"/>
    <col min="8" max="8" width="10.625" style="2" customWidth="1"/>
    <col min="9" max="9" width="10" style="2" customWidth="1"/>
    <col min="10" max="10" width="9.25" style="2" customWidth="1"/>
    <col min="11" max="11" width="12" style="2" customWidth="1"/>
    <col min="12" max="12" width="11.875" style="2" customWidth="1"/>
    <col min="13" max="17" width="9" style="2"/>
    <col min="18" max="20" width="8" style="2" customWidth="1"/>
    <col min="21" max="16384" width="9" style="2"/>
  </cols>
  <sheetData>
    <row r="2" spans="3:12" x14ac:dyDescent="0.25">
      <c r="C2" s="1" t="s">
        <v>66</v>
      </c>
    </row>
    <row r="3" spans="3:12" x14ac:dyDescent="0.25">
      <c r="C3" s="24" t="s">
        <v>67</v>
      </c>
      <c r="D3" s="24"/>
      <c r="F3" s="24" t="s">
        <v>68</v>
      </c>
      <c r="G3" s="24"/>
      <c r="H3" s="24"/>
      <c r="I3" s="24"/>
      <c r="J3" s="24"/>
      <c r="K3" s="24"/>
      <c r="L3" s="24"/>
    </row>
    <row r="4" spans="3:12" x14ac:dyDescent="0.25">
      <c r="C4" s="3" t="s">
        <v>2</v>
      </c>
      <c r="D4" s="3" t="s">
        <v>69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4</v>
      </c>
      <c r="K4" s="3" t="s">
        <v>7</v>
      </c>
      <c r="L4" s="3" t="s">
        <v>5</v>
      </c>
    </row>
    <row r="5" spans="3:12" x14ac:dyDescent="0.25">
      <c r="C5" s="3">
        <v>0</v>
      </c>
      <c r="D5" s="3">
        <v>0</v>
      </c>
      <c r="F5" s="5">
        <v>1.1225540000000001</v>
      </c>
      <c r="G5" s="8">
        <v>2.0000000000000001E-4</v>
      </c>
      <c r="H5" s="7">
        <f>G5*100000</f>
        <v>20</v>
      </c>
      <c r="I5" s="8">
        <v>6.1176280000000002E-4</v>
      </c>
      <c r="J5" s="8">
        <v>1.6201610000000002E-5</v>
      </c>
      <c r="K5" s="7">
        <f>I5*100000</f>
        <v>61.176279999999998</v>
      </c>
      <c r="L5" s="7">
        <f>J5*100000</f>
        <v>1.6201610000000002</v>
      </c>
    </row>
    <row r="6" spans="3:12" x14ac:dyDescent="0.25">
      <c r="C6" s="3">
        <v>250</v>
      </c>
      <c r="D6" s="3">
        <v>5</v>
      </c>
      <c r="F6" s="5">
        <v>1.1280650000000001</v>
      </c>
      <c r="G6" s="8">
        <v>1.8799999999999999E-4</v>
      </c>
      <c r="H6" s="7">
        <f t="shared" ref="H6:H31" si="0">G6*100000</f>
        <v>18.799999999999997</v>
      </c>
      <c r="I6" s="8">
        <v>6.2662530000000001E-4</v>
      </c>
      <c r="J6" s="8">
        <v>1.5832740000000001E-5</v>
      </c>
      <c r="K6" s="7">
        <f t="shared" ref="K6:L31" si="1">I6*100000</f>
        <v>62.662530000000004</v>
      </c>
      <c r="L6" s="7">
        <f t="shared" si="1"/>
        <v>1.5832740000000001</v>
      </c>
    </row>
    <row r="7" spans="3:12" x14ac:dyDescent="0.25">
      <c r="C7" s="3">
        <v>500</v>
      </c>
      <c r="D7" s="3">
        <v>10</v>
      </c>
      <c r="F7" s="5">
        <v>1.1327160000000001</v>
      </c>
      <c r="G7" s="8">
        <v>1.8000000000000001E-4</v>
      </c>
      <c r="H7" s="7">
        <f t="shared" si="0"/>
        <v>18</v>
      </c>
      <c r="I7" s="8">
        <v>6.3366780000000003E-4</v>
      </c>
      <c r="J7" s="8">
        <v>1.5709810000000001E-5</v>
      </c>
      <c r="K7" s="7">
        <f t="shared" si="1"/>
        <v>63.366780000000006</v>
      </c>
      <c r="L7" s="7">
        <f t="shared" si="1"/>
        <v>1.570981</v>
      </c>
    </row>
    <row r="8" spans="3:12" x14ac:dyDescent="0.25">
      <c r="C8" s="3">
        <v>1000</v>
      </c>
      <c r="D8" s="3">
        <v>20</v>
      </c>
      <c r="F8" s="5">
        <v>1.140601</v>
      </c>
      <c r="G8" s="8">
        <v>1.84E-4</v>
      </c>
      <c r="H8" s="7">
        <f t="shared" si="0"/>
        <v>18.399999999999999</v>
      </c>
      <c r="I8" s="8">
        <v>6.7451969999999997E-4</v>
      </c>
      <c r="J8" s="8">
        <v>1.6107450000000001E-5</v>
      </c>
      <c r="K8" s="7">
        <f t="shared" si="1"/>
        <v>67.451970000000003</v>
      </c>
      <c r="L8" s="7">
        <f t="shared" si="1"/>
        <v>1.6107450000000001</v>
      </c>
    </row>
    <row r="9" spans="3:12" x14ac:dyDescent="0.25">
      <c r="C9" s="3">
        <v>1500</v>
      </c>
      <c r="D9" s="3">
        <v>30</v>
      </c>
      <c r="F9" s="5">
        <v>1.1480189999999999</v>
      </c>
      <c r="G9" s="8">
        <v>1.6699999999999999E-4</v>
      </c>
      <c r="H9" s="7">
        <f t="shared" si="0"/>
        <v>16.7</v>
      </c>
      <c r="I9" s="8">
        <v>6.9216459999999998E-4</v>
      </c>
      <c r="J9" s="8">
        <v>1.9001400000000001E-5</v>
      </c>
      <c r="K9" s="7">
        <f t="shared" si="1"/>
        <v>69.216459999999998</v>
      </c>
      <c r="L9" s="7">
        <f t="shared" si="1"/>
        <v>1.9001400000000002</v>
      </c>
    </row>
    <row r="10" spans="3:12" x14ac:dyDescent="0.25">
      <c r="C10" s="3">
        <v>2000</v>
      </c>
      <c r="D10" s="3">
        <v>40</v>
      </c>
      <c r="F10" s="5">
        <v>1.154512</v>
      </c>
      <c r="G10" s="8">
        <v>1.9100000000000001E-4</v>
      </c>
      <c r="H10" s="7">
        <f t="shared" si="0"/>
        <v>19.100000000000001</v>
      </c>
      <c r="I10" s="8">
        <v>7.1629110000000001E-4</v>
      </c>
      <c r="J10" s="8">
        <v>1.6360769999999999E-5</v>
      </c>
      <c r="K10" s="7">
        <f t="shared" si="1"/>
        <v>71.629109999999997</v>
      </c>
      <c r="L10" s="7">
        <f t="shared" si="1"/>
        <v>1.6360769999999998</v>
      </c>
    </row>
    <row r="11" spans="3:12" x14ac:dyDescent="0.25">
      <c r="C11" s="3">
        <v>2500</v>
      </c>
      <c r="D11" s="3">
        <v>50</v>
      </c>
      <c r="F11" s="5">
        <v>1.1599429999999999</v>
      </c>
      <c r="G11" s="8">
        <v>1.5200000000000001E-4</v>
      </c>
      <c r="H11" s="7">
        <f t="shared" si="0"/>
        <v>15.200000000000001</v>
      </c>
      <c r="I11" s="8">
        <v>7.3325110000000001E-4</v>
      </c>
      <c r="J11" s="8">
        <v>1.768474E-5</v>
      </c>
      <c r="K11" s="7">
        <f t="shared" si="1"/>
        <v>73.325109999999995</v>
      </c>
      <c r="L11" s="7">
        <f t="shared" si="1"/>
        <v>1.7684739999999999</v>
      </c>
    </row>
    <row r="12" spans="3:12" x14ac:dyDescent="0.25">
      <c r="C12" s="3">
        <v>3000</v>
      </c>
      <c r="D12" s="3">
        <v>60</v>
      </c>
      <c r="F12" s="5">
        <v>1.1646799999999999</v>
      </c>
      <c r="G12" s="8">
        <v>1.7899999999999999E-4</v>
      </c>
      <c r="H12" s="7">
        <f t="shared" si="0"/>
        <v>17.899999999999999</v>
      </c>
      <c r="I12" s="8">
        <v>7.7062129999999997E-4</v>
      </c>
      <c r="J12" s="8">
        <v>1.7438240000000001E-5</v>
      </c>
      <c r="K12" s="7">
        <f t="shared" si="1"/>
        <v>77.062129999999996</v>
      </c>
      <c r="L12" s="7">
        <f t="shared" si="1"/>
        <v>1.743824</v>
      </c>
    </row>
    <row r="13" spans="3:12" x14ac:dyDescent="0.25">
      <c r="C13" s="3">
        <v>3500</v>
      </c>
      <c r="D13" s="3">
        <v>70</v>
      </c>
      <c r="F13" s="5">
        <v>1.169089</v>
      </c>
      <c r="G13" s="8">
        <v>1.7100000000000001E-4</v>
      </c>
      <c r="H13" s="7">
        <f t="shared" si="0"/>
        <v>17.100000000000001</v>
      </c>
      <c r="I13" s="8">
        <v>7.9899560000000003E-4</v>
      </c>
      <c r="J13" s="8">
        <v>1.744898E-5</v>
      </c>
      <c r="K13" s="7">
        <f t="shared" si="1"/>
        <v>79.899560000000008</v>
      </c>
      <c r="L13" s="7">
        <f t="shared" si="1"/>
        <v>1.7448980000000001</v>
      </c>
    </row>
    <row r="14" spans="3:12" x14ac:dyDescent="0.25">
      <c r="C14" s="3">
        <v>4000</v>
      </c>
      <c r="D14" s="3">
        <v>80</v>
      </c>
      <c r="F14" s="5">
        <v>1.172617</v>
      </c>
      <c r="G14" s="8">
        <v>1.84E-4</v>
      </c>
      <c r="H14" s="7">
        <f t="shared" si="0"/>
        <v>18.399999999999999</v>
      </c>
      <c r="I14" s="8">
        <v>8.4396289999999995E-4</v>
      </c>
      <c r="J14" s="8">
        <v>1.8394250000000001E-5</v>
      </c>
      <c r="K14" s="7">
        <f t="shared" si="1"/>
        <v>84.396289999999993</v>
      </c>
      <c r="L14" s="7">
        <f t="shared" si="1"/>
        <v>1.8394250000000001</v>
      </c>
    </row>
    <row r="15" spans="3:12" x14ac:dyDescent="0.25">
      <c r="C15" s="3">
        <v>4500</v>
      </c>
      <c r="D15" s="3">
        <v>90</v>
      </c>
      <c r="F15" s="5">
        <v>1.175529</v>
      </c>
      <c r="G15" s="8">
        <v>1.74E-4</v>
      </c>
      <c r="H15" s="7">
        <f t="shared" si="0"/>
        <v>17.399999999999999</v>
      </c>
      <c r="I15" s="8">
        <v>8.1040259999999999E-4</v>
      </c>
      <c r="J15" s="8">
        <v>1.7761290000000002E-5</v>
      </c>
      <c r="K15" s="7">
        <f t="shared" si="1"/>
        <v>81.040260000000004</v>
      </c>
      <c r="L15" s="7">
        <f t="shared" si="1"/>
        <v>1.7761290000000001</v>
      </c>
    </row>
    <row r="16" spans="3:12" x14ac:dyDescent="0.25">
      <c r="C16" s="3">
        <v>5000</v>
      </c>
      <c r="D16" s="3">
        <v>100</v>
      </c>
      <c r="F16" s="5">
        <v>1.1776899999999999</v>
      </c>
      <c r="G16" s="8">
        <v>1.76E-4</v>
      </c>
      <c r="H16" s="7">
        <f t="shared" si="0"/>
        <v>17.599999999999998</v>
      </c>
      <c r="I16" s="8">
        <v>8.5953479999999996E-4</v>
      </c>
      <c r="J16" s="8">
        <v>1.6297930000000001E-5</v>
      </c>
      <c r="K16" s="7">
        <f t="shared" si="1"/>
        <v>85.953479999999999</v>
      </c>
      <c r="L16" s="7">
        <f t="shared" si="1"/>
        <v>1.629793</v>
      </c>
    </row>
    <row r="17" spans="3:14" x14ac:dyDescent="0.25">
      <c r="C17" s="3">
        <v>5500</v>
      </c>
      <c r="D17" s="3">
        <v>110</v>
      </c>
      <c r="F17" s="5">
        <v>1.1797139999999999</v>
      </c>
      <c r="G17" s="8">
        <v>1.5100000000000001E-4</v>
      </c>
      <c r="H17" s="7">
        <f t="shared" si="0"/>
        <v>15.100000000000001</v>
      </c>
      <c r="I17" s="8">
        <v>8.4229750000000005E-4</v>
      </c>
      <c r="J17" s="8">
        <v>1.751698E-5</v>
      </c>
      <c r="K17" s="7">
        <f t="shared" si="1"/>
        <v>84.22975000000001</v>
      </c>
      <c r="L17" s="7">
        <f t="shared" si="1"/>
        <v>1.751698</v>
      </c>
    </row>
    <row r="18" spans="3:14" x14ac:dyDescent="0.25">
      <c r="C18" s="3">
        <v>6000</v>
      </c>
      <c r="D18" s="3">
        <v>120</v>
      </c>
      <c r="F18" s="5">
        <v>1.1811510000000001</v>
      </c>
      <c r="G18" s="8">
        <v>1.5799999999999999E-4</v>
      </c>
      <c r="H18" s="7">
        <f t="shared" si="0"/>
        <v>15.799999999999999</v>
      </c>
      <c r="I18" s="8">
        <v>9.0762639999999995E-4</v>
      </c>
      <c r="J18" s="8">
        <v>2.040444E-5</v>
      </c>
      <c r="K18" s="7">
        <f t="shared" si="1"/>
        <v>90.76263999999999</v>
      </c>
      <c r="L18" s="7">
        <f t="shared" si="1"/>
        <v>2.0404439999999999</v>
      </c>
    </row>
    <row r="19" spans="3:14" x14ac:dyDescent="0.25">
      <c r="C19" s="3">
        <v>6500</v>
      </c>
      <c r="D19" s="3">
        <v>130</v>
      </c>
      <c r="F19" s="5">
        <v>1.1817569999999999</v>
      </c>
      <c r="G19" s="8">
        <v>1.4300000000000001E-4</v>
      </c>
      <c r="H19" s="7">
        <f t="shared" si="0"/>
        <v>14.3</v>
      </c>
      <c r="I19" s="8">
        <v>9.0447270000000005E-4</v>
      </c>
      <c r="J19" s="8">
        <v>1.8844730000000001E-5</v>
      </c>
      <c r="K19" s="7">
        <f t="shared" si="1"/>
        <v>90.447270000000003</v>
      </c>
      <c r="L19" s="7">
        <f t="shared" si="1"/>
        <v>1.8844730000000001</v>
      </c>
    </row>
    <row r="20" spans="3:14" x14ac:dyDescent="0.25">
      <c r="C20" s="3">
        <v>7000</v>
      </c>
      <c r="D20" s="3">
        <v>140</v>
      </c>
      <c r="F20" s="5">
        <v>1.182485</v>
      </c>
      <c r="G20" s="8">
        <v>1.63E-4</v>
      </c>
      <c r="H20" s="7">
        <f t="shared" si="0"/>
        <v>16.3</v>
      </c>
      <c r="I20" s="8">
        <v>8.6186870000000003E-4</v>
      </c>
      <c r="J20" s="8">
        <v>1.835849E-5</v>
      </c>
      <c r="K20" s="7">
        <f t="shared" si="1"/>
        <v>86.186869999999999</v>
      </c>
      <c r="L20" s="7">
        <f t="shared" si="1"/>
        <v>1.8358490000000001</v>
      </c>
    </row>
    <row r="21" spans="3:14" x14ac:dyDescent="0.25">
      <c r="C21" s="3">
        <v>7500</v>
      </c>
      <c r="D21" s="3">
        <v>150</v>
      </c>
      <c r="F21" s="5">
        <v>1.1820139999999999</v>
      </c>
      <c r="G21" s="8">
        <v>1.6100000000000001E-4</v>
      </c>
      <c r="H21" s="7">
        <f t="shared" si="0"/>
        <v>16.100000000000001</v>
      </c>
      <c r="I21" s="8">
        <v>9.2560730000000005E-4</v>
      </c>
      <c r="J21" s="8">
        <v>1.869559E-5</v>
      </c>
      <c r="K21" s="7">
        <f t="shared" si="1"/>
        <v>92.560730000000007</v>
      </c>
      <c r="L21" s="7">
        <f t="shared" si="1"/>
        <v>1.869559</v>
      </c>
    </row>
    <row r="22" spans="3:14" x14ac:dyDescent="0.25">
      <c r="C22" s="3">
        <v>8000</v>
      </c>
      <c r="D22" s="3">
        <v>160</v>
      </c>
      <c r="F22" s="5">
        <v>1.181427</v>
      </c>
      <c r="G22" s="8">
        <v>1.5300000000000001E-4</v>
      </c>
      <c r="H22" s="7">
        <f t="shared" si="0"/>
        <v>15.3</v>
      </c>
      <c r="I22" s="8">
        <v>9.3381279999999996E-4</v>
      </c>
      <c r="J22" s="8">
        <v>1.8030470000000001E-5</v>
      </c>
      <c r="K22" s="7">
        <f t="shared" si="1"/>
        <v>93.38127999999999</v>
      </c>
      <c r="L22" s="7">
        <f t="shared" si="1"/>
        <v>1.8030470000000001</v>
      </c>
    </row>
    <row r="23" spans="3:14" x14ac:dyDescent="0.25">
      <c r="C23" s="3">
        <v>8500</v>
      </c>
      <c r="D23" s="3">
        <v>170</v>
      </c>
      <c r="F23" s="5">
        <v>1.18042</v>
      </c>
      <c r="G23" s="8">
        <v>1.54E-4</v>
      </c>
      <c r="H23" s="7">
        <f t="shared" si="0"/>
        <v>15.4</v>
      </c>
      <c r="I23" s="8">
        <v>9.5249590000000002E-4</v>
      </c>
      <c r="J23" s="8">
        <v>1.979384E-5</v>
      </c>
      <c r="K23" s="7">
        <f t="shared" si="1"/>
        <v>95.249589999999998</v>
      </c>
      <c r="L23" s="7">
        <f t="shared" si="1"/>
        <v>1.979384</v>
      </c>
    </row>
    <row r="24" spans="3:14" x14ac:dyDescent="0.25">
      <c r="C24" s="3">
        <v>9000</v>
      </c>
      <c r="D24" s="3">
        <v>180</v>
      </c>
      <c r="F24" s="5">
        <v>1.179133</v>
      </c>
      <c r="G24" s="8">
        <v>1.5300000000000001E-4</v>
      </c>
      <c r="H24" s="7">
        <f t="shared" si="0"/>
        <v>15.3</v>
      </c>
      <c r="I24" s="8">
        <v>9.4755060000000001E-4</v>
      </c>
      <c r="J24" s="8">
        <v>1.9316239999999999E-5</v>
      </c>
      <c r="K24" s="7">
        <f t="shared" si="1"/>
        <v>94.75506</v>
      </c>
      <c r="L24" s="7">
        <f t="shared" si="1"/>
        <v>1.931624</v>
      </c>
    </row>
    <row r="25" spans="3:14" x14ac:dyDescent="0.25">
      <c r="C25" s="3">
        <v>9500</v>
      </c>
      <c r="D25" s="3">
        <v>190</v>
      </c>
      <c r="F25" s="5">
        <v>1.1774100000000001</v>
      </c>
      <c r="G25" s="8">
        <v>1.4999999999999999E-4</v>
      </c>
      <c r="H25" s="7">
        <f t="shared" si="0"/>
        <v>14.999999999999998</v>
      </c>
      <c r="I25" s="8">
        <v>9.8615729999999998E-4</v>
      </c>
      <c r="J25" s="8">
        <v>1.7814080000000001E-5</v>
      </c>
      <c r="K25" s="7">
        <f t="shared" si="1"/>
        <v>98.615729999999999</v>
      </c>
      <c r="L25" s="7">
        <f t="shared" si="1"/>
        <v>1.7814080000000001</v>
      </c>
    </row>
    <row r="26" spans="3:14" x14ac:dyDescent="0.25">
      <c r="C26" s="3">
        <v>10000</v>
      </c>
      <c r="D26" s="3">
        <v>200</v>
      </c>
      <c r="F26" s="5">
        <v>1.175</v>
      </c>
      <c r="G26" s="8">
        <v>1.3999999999999999E-4</v>
      </c>
      <c r="H26" s="7">
        <f t="shared" si="0"/>
        <v>13.999999999999998</v>
      </c>
      <c r="I26" s="8">
        <v>9.7579109999999998E-4</v>
      </c>
      <c r="J26" s="8">
        <v>1.881715E-5</v>
      </c>
      <c r="K26" s="7">
        <f t="shared" si="1"/>
        <v>97.57911</v>
      </c>
      <c r="L26" s="7">
        <f t="shared" si="1"/>
        <v>1.881715</v>
      </c>
      <c r="N26" s="20"/>
    </row>
    <row r="27" spans="3:14" x14ac:dyDescent="0.25">
      <c r="C27" s="3">
        <v>10500</v>
      </c>
      <c r="D27" s="3">
        <v>210</v>
      </c>
      <c r="F27" s="5">
        <v>1.1728670000000001</v>
      </c>
      <c r="G27" s="8">
        <v>1.4999999999999999E-4</v>
      </c>
      <c r="H27" s="7">
        <f t="shared" si="0"/>
        <v>14.999999999999998</v>
      </c>
      <c r="I27" s="8">
        <v>9.7911760000000004E-4</v>
      </c>
      <c r="J27" s="8">
        <v>1.98616E-5</v>
      </c>
      <c r="K27" s="7">
        <f t="shared" si="1"/>
        <v>97.911760000000001</v>
      </c>
      <c r="L27" s="7">
        <f t="shared" si="1"/>
        <v>1.9861599999999999</v>
      </c>
    </row>
    <row r="28" spans="3:14" ht="18.75" x14ac:dyDescent="0.3">
      <c r="C28" s="3">
        <v>11000</v>
      </c>
      <c r="D28" s="3">
        <v>220</v>
      </c>
      <c r="F28" s="5">
        <v>1.1694290000000001</v>
      </c>
      <c r="G28" s="8">
        <v>1.4200000000000001E-4</v>
      </c>
      <c r="H28" s="7">
        <f t="shared" si="0"/>
        <v>14.200000000000001</v>
      </c>
      <c r="I28" s="8">
        <v>9.8734439999999995E-4</v>
      </c>
      <c r="J28" s="8">
        <v>1.92871E-5</v>
      </c>
      <c r="K28" s="7">
        <f t="shared" si="1"/>
        <v>98.734439999999992</v>
      </c>
      <c r="L28" s="7">
        <f t="shared" si="1"/>
        <v>1.9287100000000001</v>
      </c>
      <c r="N28" s="15" t="s">
        <v>72</v>
      </c>
    </row>
    <row r="29" spans="3:14" ht="18.75" x14ac:dyDescent="0.3">
      <c r="C29" s="3">
        <v>11500</v>
      </c>
      <c r="D29" s="3">
        <v>230</v>
      </c>
      <c r="F29" s="5">
        <v>1.166291</v>
      </c>
      <c r="G29" s="8">
        <v>1.46E-4</v>
      </c>
      <c r="H29" s="7">
        <f t="shared" si="0"/>
        <v>14.6</v>
      </c>
      <c r="I29" s="8">
        <v>1.038123E-3</v>
      </c>
      <c r="J29" s="8">
        <v>1.7806239999999998E-5</v>
      </c>
      <c r="K29" s="7">
        <f t="shared" si="1"/>
        <v>103.81229999999999</v>
      </c>
      <c r="L29" s="7">
        <f t="shared" si="1"/>
        <v>1.7806239999999998</v>
      </c>
      <c r="N29" s="16" t="s">
        <v>73</v>
      </c>
    </row>
    <row r="30" spans="3:14" ht="18.75" x14ac:dyDescent="0.3">
      <c r="C30" s="3">
        <v>12000</v>
      </c>
      <c r="D30" s="3">
        <v>240</v>
      </c>
      <c r="F30" s="5">
        <v>1.162625</v>
      </c>
      <c r="G30" s="8">
        <v>1.4300000000000001E-4</v>
      </c>
      <c r="H30" s="7">
        <f t="shared" si="0"/>
        <v>14.3</v>
      </c>
      <c r="I30" s="8">
        <v>1.0625859999999999E-3</v>
      </c>
      <c r="J30" s="8">
        <v>2.131309E-5</v>
      </c>
      <c r="K30" s="7">
        <f t="shared" si="1"/>
        <v>106.25859999999999</v>
      </c>
      <c r="L30" s="7">
        <f t="shared" si="1"/>
        <v>2.1313089999999999</v>
      </c>
      <c r="N30" s="14" t="s">
        <v>74</v>
      </c>
    </row>
    <row r="31" spans="3:14" ht="18.75" x14ac:dyDescent="0.3">
      <c r="C31" s="3">
        <v>12500</v>
      </c>
      <c r="D31" s="3">
        <v>250</v>
      </c>
      <c r="F31" s="5">
        <v>1.1583829999999999</v>
      </c>
      <c r="G31" s="8">
        <v>1.4799999999999999E-4</v>
      </c>
      <c r="H31" s="7">
        <f t="shared" si="0"/>
        <v>14.799999999999999</v>
      </c>
      <c r="I31" s="8">
        <v>1.010915E-3</v>
      </c>
      <c r="J31" s="8">
        <v>1.9276750000000001E-5</v>
      </c>
      <c r="K31" s="7">
        <f t="shared" si="1"/>
        <v>101.0915</v>
      </c>
      <c r="L31" s="7">
        <f t="shared" si="1"/>
        <v>1.9276750000000002</v>
      </c>
      <c r="N31" s="19" t="s">
        <v>71</v>
      </c>
    </row>
    <row r="33" spans="3:12" x14ac:dyDescent="0.25">
      <c r="C33" s="24" t="s">
        <v>67</v>
      </c>
      <c r="D33" s="24"/>
      <c r="F33" s="24" t="s">
        <v>70</v>
      </c>
      <c r="G33" s="24"/>
      <c r="H33" s="24"/>
      <c r="I33" s="24"/>
      <c r="J33" s="24"/>
      <c r="K33" s="24"/>
      <c r="L33" s="24"/>
    </row>
    <row r="34" spans="3:12" x14ac:dyDescent="0.25">
      <c r="C34" s="3" t="s">
        <v>2</v>
      </c>
      <c r="D34" s="3" t="s">
        <v>69</v>
      </c>
      <c r="F34" s="3" t="s">
        <v>3</v>
      </c>
      <c r="G34" s="3" t="s">
        <v>4</v>
      </c>
      <c r="H34" s="3" t="s">
        <v>5</v>
      </c>
      <c r="I34" s="3" t="s">
        <v>6</v>
      </c>
      <c r="J34" s="3" t="s">
        <v>4</v>
      </c>
      <c r="K34" s="3" t="s">
        <v>7</v>
      </c>
      <c r="L34" s="3" t="s">
        <v>5</v>
      </c>
    </row>
    <row r="35" spans="3:12" x14ac:dyDescent="0.25">
      <c r="C35" s="3">
        <v>0</v>
      </c>
      <c r="D35" s="3">
        <v>0</v>
      </c>
      <c r="F35" s="5">
        <v>1.123</v>
      </c>
      <c r="G35" s="6">
        <v>1.7000000000000001E-4</v>
      </c>
      <c r="H35" s="7">
        <f>G35*100000*F35</f>
        <v>19.091000000000001</v>
      </c>
      <c r="I35" s="8">
        <v>5.8930099999999997E-4</v>
      </c>
      <c r="J35" s="6">
        <v>3.5139999999999998E-2</v>
      </c>
      <c r="K35" s="7">
        <f>I35*100000</f>
        <v>58.930099999999996</v>
      </c>
      <c r="L35" s="7">
        <f>I35*J35*100000</f>
        <v>2.0708037139999997</v>
      </c>
    </row>
    <row r="36" spans="3:12" x14ac:dyDescent="0.25">
      <c r="C36" s="3">
        <v>250</v>
      </c>
      <c r="D36" s="3">
        <v>5</v>
      </c>
      <c r="F36" s="5">
        <v>1.1273</v>
      </c>
      <c r="G36" s="6">
        <v>1.6000000000000001E-4</v>
      </c>
      <c r="H36" s="7">
        <f t="shared" ref="H36:H61" si="2">G36*100000*F36</f>
        <v>18.036799999999999</v>
      </c>
      <c r="I36" s="8">
        <v>5.9983499999999995E-4</v>
      </c>
      <c r="J36" s="6">
        <v>3.4849999999999999E-2</v>
      </c>
      <c r="K36" s="7">
        <f t="shared" ref="K36:K61" si="3">I36*100000</f>
        <v>59.983499999999992</v>
      </c>
      <c r="L36" s="7">
        <f t="shared" ref="L36:L61" si="4">I36*J36*100000</f>
        <v>2.0904249749999995</v>
      </c>
    </row>
    <row r="37" spans="3:12" x14ac:dyDescent="0.25">
      <c r="C37" s="3">
        <v>500</v>
      </c>
      <c r="D37" s="3">
        <v>10</v>
      </c>
      <c r="F37" s="5">
        <v>1.13113</v>
      </c>
      <c r="G37" s="6">
        <v>1.6000000000000001E-4</v>
      </c>
      <c r="H37" s="7">
        <f t="shared" si="2"/>
        <v>18.09808</v>
      </c>
      <c r="I37" s="8">
        <v>5.8748000000000003E-4</v>
      </c>
      <c r="J37" s="6">
        <v>3.4810000000000001E-2</v>
      </c>
      <c r="K37" s="7">
        <f t="shared" si="3"/>
        <v>58.748000000000005</v>
      </c>
      <c r="L37" s="7">
        <f t="shared" si="4"/>
        <v>2.0450178800000001</v>
      </c>
    </row>
    <row r="38" spans="3:12" x14ac:dyDescent="0.25">
      <c r="C38" s="3">
        <v>1000</v>
      </c>
      <c r="D38" s="3">
        <v>20</v>
      </c>
      <c r="F38" s="5">
        <v>1.1372800000000001</v>
      </c>
      <c r="G38" s="6">
        <v>1.6000000000000001E-4</v>
      </c>
      <c r="H38" s="7">
        <f t="shared" si="2"/>
        <v>18.196480000000001</v>
      </c>
      <c r="I38" s="8">
        <v>6.5018499999999996E-4</v>
      </c>
      <c r="J38" s="6">
        <v>3.3250000000000002E-2</v>
      </c>
      <c r="K38" s="7">
        <f t="shared" si="3"/>
        <v>65.018499999999989</v>
      </c>
      <c r="L38" s="7">
        <f t="shared" si="4"/>
        <v>2.1618651249999998</v>
      </c>
    </row>
    <row r="39" spans="3:12" x14ac:dyDescent="0.25">
      <c r="C39" s="3">
        <v>1500</v>
      </c>
      <c r="D39" s="3">
        <v>30</v>
      </c>
      <c r="F39" s="5">
        <v>1.14357</v>
      </c>
      <c r="G39" s="6">
        <v>1.4999999999999999E-4</v>
      </c>
      <c r="H39" s="7">
        <f t="shared" si="2"/>
        <v>17.153549999999999</v>
      </c>
      <c r="I39" s="8">
        <v>6.72071E-4</v>
      </c>
      <c r="J39" s="6">
        <v>3.2710000000000003E-2</v>
      </c>
      <c r="K39" s="7">
        <f t="shared" si="3"/>
        <v>67.207099999999997</v>
      </c>
      <c r="L39" s="7">
        <f t="shared" si="4"/>
        <v>2.198344241</v>
      </c>
    </row>
    <row r="40" spans="3:12" x14ac:dyDescent="0.25">
      <c r="C40" s="3">
        <v>2000</v>
      </c>
      <c r="D40" s="3">
        <v>40</v>
      </c>
      <c r="F40" s="5">
        <v>1.1485700000000001</v>
      </c>
      <c r="G40" s="6">
        <v>1.6000000000000001E-4</v>
      </c>
      <c r="H40" s="7">
        <f t="shared" si="2"/>
        <v>18.377120000000001</v>
      </c>
      <c r="I40" s="8">
        <v>6.9066899999999998E-4</v>
      </c>
      <c r="J40" s="6">
        <v>3.1519999999999999E-2</v>
      </c>
      <c r="K40" s="7">
        <f t="shared" si="3"/>
        <v>69.066900000000004</v>
      </c>
      <c r="L40" s="7">
        <f t="shared" si="4"/>
        <v>2.1769886879999998</v>
      </c>
    </row>
    <row r="41" spans="3:12" x14ac:dyDescent="0.25">
      <c r="C41" s="3">
        <v>2500</v>
      </c>
      <c r="D41" s="3">
        <v>50</v>
      </c>
      <c r="F41" s="5">
        <v>1.15324</v>
      </c>
      <c r="G41" s="6">
        <v>1.4999999999999999E-4</v>
      </c>
      <c r="H41" s="7">
        <f t="shared" si="2"/>
        <v>17.298599999999997</v>
      </c>
      <c r="I41" s="8">
        <v>7.3080900000000002E-4</v>
      </c>
      <c r="J41" s="6">
        <v>3.1699999999999999E-2</v>
      </c>
      <c r="K41" s="7">
        <f t="shared" si="3"/>
        <v>73.0809</v>
      </c>
      <c r="L41" s="7">
        <f t="shared" si="4"/>
        <v>2.3166645300000002</v>
      </c>
    </row>
    <row r="42" spans="3:12" x14ac:dyDescent="0.25">
      <c r="C42" s="3">
        <v>3000</v>
      </c>
      <c r="D42" s="3">
        <v>60</v>
      </c>
      <c r="F42" s="5">
        <v>1.1569499999999999</v>
      </c>
      <c r="G42" s="6">
        <v>1.4999999999999999E-4</v>
      </c>
      <c r="H42" s="7">
        <f t="shared" si="2"/>
        <v>17.354249999999997</v>
      </c>
      <c r="I42" s="8">
        <v>7.8582999999999995E-4</v>
      </c>
      <c r="J42" s="6">
        <v>3.0280000000000001E-2</v>
      </c>
      <c r="K42" s="7">
        <f t="shared" si="3"/>
        <v>78.582999999999998</v>
      </c>
      <c r="L42" s="7">
        <f t="shared" si="4"/>
        <v>2.37949324</v>
      </c>
    </row>
    <row r="43" spans="3:12" x14ac:dyDescent="0.25">
      <c r="C43" s="3">
        <v>3500</v>
      </c>
      <c r="D43" s="3">
        <v>70</v>
      </c>
      <c r="F43" s="5">
        <v>1.1605300000000001</v>
      </c>
      <c r="G43" s="6">
        <v>1.4999999999999999E-4</v>
      </c>
      <c r="H43" s="7">
        <f t="shared" si="2"/>
        <v>17.40795</v>
      </c>
      <c r="I43" s="8">
        <v>7.9313799999999998E-4</v>
      </c>
      <c r="J43" s="6">
        <v>3.0630000000000001E-2</v>
      </c>
      <c r="K43" s="7">
        <f t="shared" si="3"/>
        <v>79.313800000000001</v>
      </c>
      <c r="L43" s="7">
        <f t="shared" si="4"/>
        <v>2.4293816939999999</v>
      </c>
    </row>
    <row r="44" spans="3:12" x14ac:dyDescent="0.25">
      <c r="C44" s="3">
        <v>4000</v>
      </c>
      <c r="D44" s="3">
        <v>80</v>
      </c>
      <c r="F44" s="5">
        <v>1.16307</v>
      </c>
      <c r="G44" s="6">
        <v>1.4999999999999999E-4</v>
      </c>
      <c r="H44" s="7">
        <f t="shared" si="2"/>
        <v>17.44605</v>
      </c>
      <c r="I44" s="8">
        <v>7.89056E-4</v>
      </c>
      <c r="J44" s="6">
        <v>2.9020000000000001E-2</v>
      </c>
      <c r="K44" s="7">
        <f t="shared" si="3"/>
        <v>78.905600000000007</v>
      </c>
      <c r="L44" s="7">
        <f t="shared" si="4"/>
        <v>2.2898405120000001</v>
      </c>
    </row>
    <row r="45" spans="3:12" x14ac:dyDescent="0.25">
      <c r="C45" s="3">
        <v>4500</v>
      </c>
      <c r="D45" s="3">
        <v>90</v>
      </c>
      <c r="F45" s="5">
        <v>1.1654500000000001</v>
      </c>
      <c r="G45" s="6">
        <v>1.3999999999999999E-4</v>
      </c>
      <c r="H45" s="7">
        <f t="shared" si="2"/>
        <v>16.316299999999998</v>
      </c>
      <c r="I45" s="8">
        <v>8.1902400000000001E-4</v>
      </c>
      <c r="J45" s="6">
        <v>2.9829999999999999E-2</v>
      </c>
      <c r="K45" s="7">
        <f t="shared" si="3"/>
        <v>81.9024</v>
      </c>
      <c r="L45" s="7">
        <f t="shared" si="4"/>
        <v>2.4431485919999996</v>
      </c>
    </row>
    <row r="46" spans="3:12" x14ac:dyDescent="0.25">
      <c r="C46" s="3">
        <v>5000</v>
      </c>
      <c r="D46" s="3">
        <v>100</v>
      </c>
      <c r="F46" s="5">
        <v>1.16751</v>
      </c>
      <c r="G46" s="6">
        <v>1.3999999999999999E-4</v>
      </c>
      <c r="H46" s="7">
        <f t="shared" si="2"/>
        <v>16.345139999999997</v>
      </c>
      <c r="I46" s="8">
        <v>7.8272499999999996E-4</v>
      </c>
      <c r="J46" s="6">
        <v>3.031E-2</v>
      </c>
      <c r="K46" s="7">
        <f t="shared" si="3"/>
        <v>78.272499999999994</v>
      </c>
      <c r="L46" s="7">
        <f t="shared" si="4"/>
        <v>2.3724394750000002</v>
      </c>
    </row>
    <row r="47" spans="3:12" x14ac:dyDescent="0.25">
      <c r="C47" s="3">
        <v>5500</v>
      </c>
      <c r="D47" s="3">
        <v>110</v>
      </c>
      <c r="F47" s="5">
        <v>1.1689700000000001</v>
      </c>
      <c r="G47" s="6">
        <v>1.3999999999999999E-4</v>
      </c>
      <c r="H47" s="7">
        <f t="shared" si="2"/>
        <v>16.365579999999998</v>
      </c>
      <c r="I47" s="8">
        <v>8.2845399999999995E-4</v>
      </c>
      <c r="J47" s="6">
        <v>2.964E-2</v>
      </c>
      <c r="K47" s="7">
        <f t="shared" si="3"/>
        <v>82.845399999999998</v>
      </c>
      <c r="L47" s="7">
        <f t="shared" si="4"/>
        <v>2.4555376559999997</v>
      </c>
    </row>
    <row r="48" spans="3:12" x14ac:dyDescent="0.25">
      <c r="C48" s="3">
        <v>6000</v>
      </c>
      <c r="D48" s="3">
        <v>120</v>
      </c>
      <c r="F48" s="5">
        <v>1.1697</v>
      </c>
      <c r="G48" s="6">
        <v>1.3999999999999999E-4</v>
      </c>
      <c r="H48" s="7">
        <f t="shared" si="2"/>
        <v>16.375799999999998</v>
      </c>
      <c r="I48" s="8">
        <v>8.6538700000000001E-4</v>
      </c>
      <c r="J48" s="6">
        <v>2.8590000000000001E-2</v>
      </c>
      <c r="K48" s="7">
        <f t="shared" si="3"/>
        <v>86.538700000000006</v>
      </c>
      <c r="L48" s="7">
        <f t="shared" si="4"/>
        <v>2.4741414330000002</v>
      </c>
    </row>
    <row r="49" spans="3:12" x14ac:dyDescent="0.25">
      <c r="C49" s="3">
        <v>6500</v>
      </c>
      <c r="D49" s="3">
        <v>130</v>
      </c>
      <c r="F49" s="5">
        <v>1.1699299999999999</v>
      </c>
      <c r="G49" s="6">
        <v>1.3999999999999999E-4</v>
      </c>
      <c r="H49" s="7">
        <f t="shared" si="2"/>
        <v>16.379019999999997</v>
      </c>
      <c r="I49" s="8">
        <v>8.8636599999999998E-4</v>
      </c>
      <c r="J49" s="6">
        <v>2.8039999999999999E-2</v>
      </c>
      <c r="K49" s="7">
        <f t="shared" si="3"/>
        <v>88.636600000000001</v>
      </c>
      <c r="L49" s="7">
        <f t="shared" si="4"/>
        <v>2.4853702640000002</v>
      </c>
    </row>
    <row r="50" spans="3:12" x14ac:dyDescent="0.25">
      <c r="C50" s="3">
        <v>7000</v>
      </c>
      <c r="D50" s="3">
        <v>140</v>
      </c>
      <c r="F50" s="5">
        <v>1.1706099999999999</v>
      </c>
      <c r="G50" s="6">
        <v>1.3999999999999999E-4</v>
      </c>
      <c r="H50" s="7">
        <f t="shared" si="2"/>
        <v>16.388539999999995</v>
      </c>
      <c r="I50" s="8">
        <v>9.0950099999999995E-4</v>
      </c>
      <c r="J50" s="6">
        <v>2.7830000000000001E-2</v>
      </c>
      <c r="K50" s="7">
        <f t="shared" si="3"/>
        <v>90.950099999999992</v>
      </c>
      <c r="L50" s="7">
        <f t="shared" si="4"/>
        <v>2.5311412829999997</v>
      </c>
    </row>
    <row r="51" spans="3:12" x14ac:dyDescent="0.25">
      <c r="C51" s="3">
        <v>7500</v>
      </c>
      <c r="D51" s="3">
        <v>150</v>
      </c>
      <c r="F51" s="5">
        <v>1.17028</v>
      </c>
      <c r="G51" s="6">
        <v>1.3999999999999999E-4</v>
      </c>
      <c r="H51" s="7">
        <f t="shared" si="2"/>
        <v>16.383919999999996</v>
      </c>
      <c r="I51" s="8">
        <v>9.1093999999999995E-4</v>
      </c>
      <c r="J51" s="6">
        <v>2.7119999999999998E-2</v>
      </c>
      <c r="K51" s="7">
        <f t="shared" si="3"/>
        <v>91.093999999999994</v>
      </c>
      <c r="L51" s="7">
        <f t="shared" si="4"/>
        <v>2.4704692799999997</v>
      </c>
    </row>
    <row r="52" spans="3:12" x14ac:dyDescent="0.25">
      <c r="C52" s="3">
        <v>8000</v>
      </c>
      <c r="D52" s="3">
        <v>160</v>
      </c>
      <c r="F52" s="5">
        <v>1.1692899999999999</v>
      </c>
      <c r="G52" s="6">
        <v>1.2999999999999999E-4</v>
      </c>
      <c r="H52" s="7">
        <f t="shared" si="2"/>
        <v>15.200769999999997</v>
      </c>
      <c r="I52" s="8">
        <v>9.3548100000000005E-4</v>
      </c>
      <c r="J52" s="6">
        <v>2.6079999999999999E-2</v>
      </c>
      <c r="K52" s="7">
        <f t="shared" si="3"/>
        <v>93.548100000000005</v>
      </c>
      <c r="L52" s="7">
        <f t="shared" si="4"/>
        <v>2.4397344479999998</v>
      </c>
    </row>
    <row r="53" spans="3:12" x14ac:dyDescent="0.25">
      <c r="C53" s="3">
        <v>8500</v>
      </c>
      <c r="D53" s="3">
        <v>170</v>
      </c>
      <c r="F53" s="5">
        <v>1.1684300000000001</v>
      </c>
      <c r="G53" s="6">
        <v>1.2999999999999999E-4</v>
      </c>
      <c r="H53" s="7">
        <f t="shared" si="2"/>
        <v>15.189589999999999</v>
      </c>
      <c r="I53" s="8">
        <v>9.5810100000000005E-4</v>
      </c>
      <c r="J53" s="6">
        <v>2.6370000000000001E-2</v>
      </c>
      <c r="K53" s="7">
        <f t="shared" si="3"/>
        <v>95.810100000000006</v>
      </c>
      <c r="L53" s="7">
        <f t="shared" si="4"/>
        <v>2.5265123370000002</v>
      </c>
    </row>
    <row r="54" spans="3:12" x14ac:dyDescent="0.25">
      <c r="C54" s="3">
        <v>9000</v>
      </c>
      <c r="D54" s="3">
        <v>180</v>
      </c>
      <c r="F54" s="5">
        <v>1.1669700000000001</v>
      </c>
      <c r="G54" s="6">
        <v>1.2999999999999999E-4</v>
      </c>
      <c r="H54" s="7">
        <f t="shared" si="2"/>
        <v>15.170609999999998</v>
      </c>
      <c r="I54" s="8">
        <v>9.3624599999999995E-4</v>
      </c>
      <c r="J54" s="6">
        <v>2.6859999999999998E-2</v>
      </c>
      <c r="K54" s="7">
        <f t="shared" si="3"/>
        <v>93.624600000000001</v>
      </c>
      <c r="L54" s="7">
        <f t="shared" si="4"/>
        <v>2.5147567559999997</v>
      </c>
    </row>
    <row r="55" spans="3:12" x14ac:dyDescent="0.25">
      <c r="C55" s="3">
        <v>9500</v>
      </c>
      <c r="D55" s="3">
        <v>190</v>
      </c>
      <c r="F55" s="5">
        <v>1.1653</v>
      </c>
      <c r="G55" s="6">
        <v>1.2999999999999999E-4</v>
      </c>
      <c r="H55" s="7">
        <f t="shared" si="2"/>
        <v>15.148899999999998</v>
      </c>
      <c r="I55" s="8">
        <v>9.8151000000000011E-4</v>
      </c>
      <c r="J55" s="6">
        <v>2.64E-2</v>
      </c>
      <c r="K55" s="7">
        <f t="shared" si="3"/>
        <v>98.15100000000001</v>
      </c>
      <c r="L55" s="7">
        <f t="shared" si="4"/>
        <v>2.5911864000000002</v>
      </c>
    </row>
    <row r="56" spans="3:12" x14ac:dyDescent="0.25">
      <c r="C56" s="3">
        <v>10000</v>
      </c>
      <c r="D56" s="3">
        <v>200</v>
      </c>
      <c r="F56" s="5">
        <v>1.1632199999999999</v>
      </c>
      <c r="G56" s="6">
        <v>1.2999999999999999E-4</v>
      </c>
      <c r="H56" s="7">
        <f t="shared" si="2"/>
        <v>15.121859999999996</v>
      </c>
      <c r="I56" s="8">
        <v>9.85208E-4</v>
      </c>
      <c r="J56" s="6">
        <v>2.6280000000000001E-2</v>
      </c>
      <c r="K56" s="7">
        <f t="shared" si="3"/>
        <v>98.520799999999994</v>
      </c>
      <c r="L56" s="7">
        <f t="shared" si="4"/>
        <v>2.5891266239999999</v>
      </c>
    </row>
    <row r="57" spans="3:12" x14ac:dyDescent="0.25">
      <c r="C57" s="3">
        <v>10500</v>
      </c>
      <c r="D57" s="3">
        <v>210</v>
      </c>
      <c r="F57" s="5">
        <v>1.16065</v>
      </c>
      <c r="G57" s="6">
        <v>1.2999999999999999E-4</v>
      </c>
      <c r="H57" s="7">
        <f t="shared" si="2"/>
        <v>15.088449999999998</v>
      </c>
      <c r="I57" s="8">
        <v>1.0012E-3</v>
      </c>
      <c r="J57" s="6">
        <v>2.6519999999999998E-2</v>
      </c>
      <c r="K57" s="7">
        <f t="shared" si="3"/>
        <v>100.12</v>
      </c>
      <c r="L57" s="7">
        <f t="shared" si="4"/>
        <v>2.6551824000000002</v>
      </c>
    </row>
    <row r="58" spans="3:12" x14ac:dyDescent="0.25">
      <c r="C58" s="3">
        <v>11000</v>
      </c>
      <c r="D58" s="3">
        <v>220</v>
      </c>
      <c r="F58" s="5">
        <v>1.15831</v>
      </c>
      <c r="G58" s="6">
        <v>1.2999999999999999E-4</v>
      </c>
      <c r="H58" s="7">
        <f t="shared" si="2"/>
        <v>15.058029999999997</v>
      </c>
      <c r="I58" s="8">
        <v>9.7772099999999997E-4</v>
      </c>
      <c r="J58" s="6">
        <v>2.6689999999999998E-2</v>
      </c>
      <c r="K58" s="7">
        <f t="shared" si="3"/>
        <v>97.772099999999995</v>
      </c>
      <c r="L58" s="7">
        <f t="shared" si="4"/>
        <v>2.609537349</v>
      </c>
    </row>
    <row r="59" spans="3:12" x14ac:dyDescent="0.25">
      <c r="C59" s="3">
        <v>11500</v>
      </c>
      <c r="D59" s="3">
        <v>230</v>
      </c>
      <c r="F59" s="5">
        <v>1.1548400000000001</v>
      </c>
      <c r="G59" s="6">
        <v>1.2E-4</v>
      </c>
      <c r="H59" s="7">
        <f t="shared" si="2"/>
        <v>13.858080000000001</v>
      </c>
      <c r="I59" s="8">
        <v>1.04024E-3</v>
      </c>
      <c r="J59" s="6">
        <v>2.6380000000000001E-2</v>
      </c>
      <c r="K59" s="7">
        <f t="shared" si="3"/>
        <v>104.024</v>
      </c>
      <c r="L59" s="7">
        <f t="shared" si="4"/>
        <v>2.74415312</v>
      </c>
    </row>
    <row r="60" spans="3:12" x14ac:dyDescent="0.25">
      <c r="C60" s="3">
        <v>12000</v>
      </c>
      <c r="D60" s="3">
        <v>240</v>
      </c>
      <c r="F60" s="5">
        <v>1.1515899999999999</v>
      </c>
      <c r="G60" s="6">
        <v>1.2E-4</v>
      </c>
      <c r="H60" s="7">
        <f t="shared" si="2"/>
        <v>13.81908</v>
      </c>
      <c r="I60" s="8">
        <v>1.0255399999999999E-3</v>
      </c>
      <c r="J60" s="6">
        <v>2.58E-2</v>
      </c>
      <c r="K60" s="7">
        <f t="shared" si="3"/>
        <v>102.55399999999999</v>
      </c>
      <c r="L60" s="7">
        <f t="shared" si="4"/>
        <v>2.6458931999999997</v>
      </c>
    </row>
    <row r="61" spans="3:12" x14ac:dyDescent="0.25">
      <c r="C61" s="3">
        <v>12500</v>
      </c>
      <c r="D61" s="3">
        <v>250</v>
      </c>
      <c r="F61" s="5">
        <v>1.14808</v>
      </c>
      <c r="G61" s="6">
        <v>1.2E-4</v>
      </c>
      <c r="H61" s="7">
        <f t="shared" si="2"/>
        <v>13.776959999999999</v>
      </c>
      <c r="I61" s="8">
        <v>1.0101400000000001E-3</v>
      </c>
      <c r="J61" s="6">
        <v>2.674E-2</v>
      </c>
      <c r="K61" s="7">
        <f t="shared" si="3"/>
        <v>101.01400000000001</v>
      </c>
      <c r="L61" s="7">
        <f t="shared" si="4"/>
        <v>2.7011143600000005</v>
      </c>
    </row>
    <row r="63" spans="3:12" x14ac:dyDescent="0.25">
      <c r="C63" s="24" t="s">
        <v>67</v>
      </c>
      <c r="D63" s="24"/>
      <c r="F63" s="24" t="s">
        <v>1</v>
      </c>
      <c r="G63" s="24"/>
      <c r="H63" s="24"/>
      <c r="I63" s="24"/>
      <c r="J63" s="24"/>
      <c r="K63" s="24"/>
      <c r="L63" s="24"/>
    </row>
    <row r="64" spans="3:12" x14ac:dyDescent="0.25">
      <c r="C64" s="3" t="s">
        <v>2</v>
      </c>
      <c r="D64" s="3" t="s">
        <v>69</v>
      </c>
      <c r="F64" s="3" t="s">
        <v>3</v>
      </c>
      <c r="G64" s="3" t="s">
        <v>4</v>
      </c>
      <c r="H64" s="3" t="s">
        <v>5</v>
      </c>
      <c r="I64" s="3" t="s">
        <v>6</v>
      </c>
      <c r="J64" s="3" t="s">
        <v>4</v>
      </c>
      <c r="K64" s="3" t="s">
        <v>7</v>
      </c>
      <c r="L64" s="3" t="s">
        <v>5</v>
      </c>
    </row>
    <row r="65" spans="3:12" x14ac:dyDescent="0.25">
      <c r="C65" s="3">
        <v>0</v>
      </c>
      <c r="D65" s="3">
        <v>0</v>
      </c>
      <c r="F65" s="5">
        <v>1.1222099999999999</v>
      </c>
      <c r="G65" s="6">
        <v>1.6000000000000001E-4</v>
      </c>
      <c r="H65" s="7">
        <f>G65*100000*F65</f>
        <v>17.955359999999999</v>
      </c>
      <c r="I65" s="8">
        <v>6.0223899999999996E-4</v>
      </c>
      <c r="J65" s="6">
        <v>3.4810000000000001E-2</v>
      </c>
      <c r="K65" s="7">
        <f>I65*100000</f>
        <v>60.223899999999993</v>
      </c>
      <c r="L65" s="7">
        <f>I65*J65*100000</f>
        <v>2.0963939590000003</v>
      </c>
    </row>
    <row r="66" spans="3:12" x14ac:dyDescent="0.25">
      <c r="C66" s="3">
        <v>250</v>
      </c>
      <c r="D66" s="3">
        <v>5</v>
      </c>
      <c r="F66" s="5">
        <v>1.12731</v>
      </c>
      <c r="G66" s="6">
        <v>1.6000000000000001E-4</v>
      </c>
      <c r="H66" s="7">
        <f t="shared" ref="H66:H91" si="5">G66*100000*F66</f>
        <v>18.036960000000001</v>
      </c>
      <c r="I66" s="8">
        <v>6.2540499999999999E-4</v>
      </c>
      <c r="J66" s="6">
        <v>3.5299999999999998E-2</v>
      </c>
      <c r="K66" s="7">
        <f t="shared" ref="K66:K91" si="6">I66*100000</f>
        <v>62.540500000000002</v>
      </c>
      <c r="L66" s="7">
        <f t="shared" ref="L66:L91" si="7">I66*J66*100000</f>
        <v>2.2076796499999998</v>
      </c>
    </row>
    <row r="67" spans="3:12" x14ac:dyDescent="0.25">
      <c r="C67" s="3">
        <v>500</v>
      </c>
      <c r="D67" s="3">
        <v>10</v>
      </c>
      <c r="F67" s="5">
        <v>1.1311800000000001</v>
      </c>
      <c r="G67" s="6">
        <v>1.6000000000000001E-4</v>
      </c>
      <c r="H67" s="7">
        <f t="shared" si="5"/>
        <v>18.098880000000001</v>
      </c>
      <c r="I67" s="8">
        <v>6.1465999999999995E-4</v>
      </c>
      <c r="J67" s="6">
        <v>3.4369999999999998E-2</v>
      </c>
      <c r="K67" s="7">
        <f t="shared" si="6"/>
        <v>61.465999999999994</v>
      </c>
      <c r="L67" s="7">
        <f t="shared" si="7"/>
        <v>2.1125864199999995</v>
      </c>
    </row>
    <row r="68" spans="3:12" x14ac:dyDescent="0.25">
      <c r="C68" s="3">
        <v>1000</v>
      </c>
      <c r="D68" s="3">
        <v>20</v>
      </c>
      <c r="F68" s="5">
        <v>1.13856</v>
      </c>
      <c r="G68" s="6">
        <v>1.6000000000000001E-4</v>
      </c>
      <c r="H68" s="7">
        <f t="shared" si="5"/>
        <v>18.21696</v>
      </c>
      <c r="I68" s="8">
        <v>6.8574800000000002E-4</v>
      </c>
      <c r="J68" s="6">
        <v>3.3029999999999997E-2</v>
      </c>
      <c r="K68" s="7">
        <f t="shared" si="6"/>
        <v>68.574799999999996</v>
      </c>
      <c r="L68" s="7">
        <f t="shared" si="7"/>
        <v>2.2650256439999996</v>
      </c>
    </row>
    <row r="69" spans="3:12" x14ac:dyDescent="0.25">
      <c r="C69" s="3">
        <v>1500</v>
      </c>
      <c r="D69" s="3">
        <v>30</v>
      </c>
      <c r="F69" s="5">
        <v>1.1447700000000001</v>
      </c>
      <c r="G69" s="6">
        <v>1.6000000000000001E-4</v>
      </c>
      <c r="H69" s="7">
        <f t="shared" si="5"/>
        <v>18.316320000000001</v>
      </c>
      <c r="I69" s="8">
        <v>6.4956400000000004E-4</v>
      </c>
      <c r="J69" s="6">
        <v>3.2059999999999998E-2</v>
      </c>
      <c r="K69" s="7">
        <f t="shared" si="6"/>
        <v>64.956400000000002</v>
      </c>
      <c r="L69" s="7">
        <f t="shared" si="7"/>
        <v>2.082502184</v>
      </c>
    </row>
    <row r="70" spans="3:12" x14ac:dyDescent="0.25">
      <c r="C70" s="3">
        <v>2000</v>
      </c>
      <c r="D70" s="3">
        <v>40</v>
      </c>
      <c r="F70" s="5">
        <v>1.14994</v>
      </c>
      <c r="G70" s="6">
        <v>1.4999999999999999E-4</v>
      </c>
      <c r="H70" s="7">
        <f t="shared" si="5"/>
        <v>17.249099999999999</v>
      </c>
      <c r="I70" s="8">
        <v>7.5082000000000002E-4</v>
      </c>
      <c r="J70" s="6">
        <v>3.074E-2</v>
      </c>
      <c r="K70" s="7">
        <f t="shared" si="6"/>
        <v>75.082000000000008</v>
      </c>
      <c r="L70" s="7">
        <f t="shared" si="7"/>
        <v>2.3080206800000003</v>
      </c>
    </row>
    <row r="71" spans="3:12" x14ac:dyDescent="0.25">
      <c r="C71" s="3">
        <v>2500</v>
      </c>
      <c r="D71" s="3">
        <v>50</v>
      </c>
      <c r="F71" s="5">
        <v>1.15422</v>
      </c>
      <c r="G71" s="6">
        <v>1.4999999999999999E-4</v>
      </c>
      <c r="H71" s="7">
        <f t="shared" si="5"/>
        <v>17.313299999999998</v>
      </c>
      <c r="I71" s="8">
        <v>6.8860500000000001E-4</v>
      </c>
      <c r="J71" s="6">
        <v>3.0949999999999998E-2</v>
      </c>
      <c r="K71" s="7">
        <f t="shared" si="6"/>
        <v>68.860500000000002</v>
      </c>
      <c r="L71" s="7">
        <f t="shared" si="7"/>
        <v>2.131232475</v>
      </c>
    </row>
    <row r="72" spans="3:12" x14ac:dyDescent="0.25">
      <c r="C72" s="3">
        <v>3000</v>
      </c>
      <c r="D72" s="3">
        <v>60</v>
      </c>
      <c r="F72" s="5">
        <v>1.1584399999999999</v>
      </c>
      <c r="G72" s="6">
        <v>1.4999999999999999E-4</v>
      </c>
      <c r="H72" s="7">
        <f t="shared" si="5"/>
        <v>17.376599999999996</v>
      </c>
      <c r="I72" s="8">
        <v>7.5328099999999996E-4</v>
      </c>
      <c r="J72" s="6">
        <v>3.0810000000000001E-2</v>
      </c>
      <c r="K72" s="7">
        <f t="shared" si="6"/>
        <v>75.328099999999992</v>
      </c>
      <c r="L72" s="7">
        <f t="shared" si="7"/>
        <v>2.3208587610000002</v>
      </c>
    </row>
    <row r="73" spans="3:12" x14ac:dyDescent="0.25">
      <c r="C73" s="3">
        <v>3500</v>
      </c>
      <c r="D73" s="3">
        <v>70</v>
      </c>
      <c r="F73" s="5">
        <v>1.1621699999999999</v>
      </c>
      <c r="G73" s="6">
        <v>1.4999999999999999E-4</v>
      </c>
      <c r="H73" s="7">
        <f t="shared" si="5"/>
        <v>17.432549999999996</v>
      </c>
      <c r="I73" s="8">
        <v>7.4057400000000003E-4</v>
      </c>
      <c r="J73" s="6">
        <v>3.005E-2</v>
      </c>
      <c r="K73" s="7">
        <f t="shared" si="6"/>
        <v>74.057400000000001</v>
      </c>
      <c r="L73" s="7">
        <f t="shared" si="7"/>
        <v>2.2254248699999999</v>
      </c>
    </row>
    <row r="74" spans="3:12" x14ac:dyDescent="0.25">
      <c r="C74" s="3">
        <v>4000</v>
      </c>
      <c r="D74" s="3">
        <v>80</v>
      </c>
      <c r="F74" s="5">
        <v>1.1650799999999999</v>
      </c>
      <c r="G74" s="6">
        <v>1.3999999999999999E-4</v>
      </c>
      <c r="H74" s="7">
        <f t="shared" si="5"/>
        <v>16.311119999999995</v>
      </c>
      <c r="I74" s="8">
        <v>8.4073500000000001E-4</v>
      </c>
      <c r="J74" s="6">
        <v>2.887E-2</v>
      </c>
      <c r="K74" s="7">
        <f t="shared" si="6"/>
        <v>84.073499999999996</v>
      </c>
      <c r="L74" s="7">
        <f t="shared" si="7"/>
        <v>2.4272019450000002</v>
      </c>
    </row>
    <row r="75" spans="3:12" x14ac:dyDescent="0.25">
      <c r="C75" s="3">
        <v>4500</v>
      </c>
      <c r="D75" s="3">
        <v>90</v>
      </c>
      <c r="F75" s="5">
        <v>1.16734</v>
      </c>
      <c r="G75" s="6">
        <v>1.4999999999999999E-4</v>
      </c>
      <c r="H75" s="7">
        <f t="shared" si="5"/>
        <v>17.510099999999998</v>
      </c>
      <c r="I75" s="8">
        <v>8.5927099999999999E-4</v>
      </c>
      <c r="J75" s="6">
        <v>2.9309999999999999E-2</v>
      </c>
      <c r="K75" s="7">
        <f t="shared" si="6"/>
        <v>85.927099999999996</v>
      </c>
      <c r="L75" s="7">
        <f t="shared" si="7"/>
        <v>2.5185233010000001</v>
      </c>
    </row>
    <row r="76" spans="3:12" x14ac:dyDescent="0.25">
      <c r="C76" s="3">
        <v>5000</v>
      </c>
      <c r="D76" s="3">
        <v>100</v>
      </c>
      <c r="F76" s="5">
        <v>1.1690199999999999</v>
      </c>
      <c r="G76" s="6">
        <v>1.3999999999999999E-4</v>
      </c>
      <c r="H76" s="7">
        <f t="shared" si="5"/>
        <v>16.366279999999996</v>
      </c>
      <c r="I76" s="8">
        <v>8.1528500000000001E-4</v>
      </c>
      <c r="J76" s="6">
        <v>2.9100000000000001E-2</v>
      </c>
      <c r="K76" s="7">
        <f t="shared" si="6"/>
        <v>81.528500000000008</v>
      </c>
      <c r="L76" s="7">
        <f t="shared" si="7"/>
        <v>2.3724793500000003</v>
      </c>
    </row>
    <row r="77" spans="3:12" x14ac:dyDescent="0.25">
      <c r="C77" s="3">
        <v>5500</v>
      </c>
      <c r="D77" s="3">
        <v>110</v>
      </c>
      <c r="F77" s="5">
        <v>1.17014</v>
      </c>
      <c r="G77" s="6">
        <v>1.3999999999999999E-4</v>
      </c>
      <c r="H77" s="7">
        <f t="shared" si="5"/>
        <v>16.381959999999996</v>
      </c>
      <c r="I77" s="8">
        <v>8.7008400000000003E-4</v>
      </c>
      <c r="J77" s="6">
        <v>2.894E-2</v>
      </c>
      <c r="K77" s="7">
        <f t="shared" si="6"/>
        <v>87.008400000000009</v>
      </c>
      <c r="L77" s="7">
        <f t="shared" si="7"/>
        <v>2.5180230960000003</v>
      </c>
    </row>
    <row r="78" spans="3:12" x14ac:dyDescent="0.25">
      <c r="C78" s="3">
        <v>6000</v>
      </c>
      <c r="D78" s="3">
        <v>120</v>
      </c>
      <c r="F78" s="5">
        <v>1.1712899999999999</v>
      </c>
      <c r="G78" s="6">
        <v>1.3999999999999999E-4</v>
      </c>
      <c r="H78" s="7">
        <f t="shared" si="5"/>
        <v>16.398059999999997</v>
      </c>
      <c r="I78" s="8">
        <v>8.2686499999999998E-4</v>
      </c>
      <c r="J78" s="6">
        <v>2.896E-2</v>
      </c>
      <c r="K78" s="7">
        <f t="shared" si="6"/>
        <v>82.686499999999995</v>
      </c>
      <c r="L78" s="7">
        <f t="shared" si="7"/>
        <v>2.39460104</v>
      </c>
    </row>
    <row r="79" spans="3:12" x14ac:dyDescent="0.25">
      <c r="C79" s="3">
        <v>6500</v>
      </c>
      <c r="D79" s="3">
        <v>130</v>
      </c>
      <c r="F79" s="5">
        <v>1.1717900000000001</v>
      </c>
      <c r="G79" s="6">
        <v>1.3999999999999999E-4</v>
      </c>
      <c r="H79" s="7">
        <f t="shared" si="5"/>
        <v>16.405059999999999</v>
      </c>
      <c r="I79" s="8">
        <v>9.1110900000000001E-4</v>
      </c>
      <c r="J79" s="6">
        <v>2.7619999999999999E-2</v>
      </c>
      <c r="K79" s="7">
        <f t="shared" si="6"/>
        <v>91.110900000000001</v>
      </c>
      <c r="L79" s="7">
        <f t="shared" si="7"/>
        <v>2.5164830579999999</v>
      </c>
    </row>
    <row r="80" spans="3:12" x14ac:dyDescent="0.25">
      <c r="C80" s="3">
        <v>7000</v>
      </c>
      <c r="D80" s="3">
        <v>140</v>
      </c>
      <c r="F80" s="5">
        <v>1.1717500000000001</v>
      </c>
      <c r="G80" s="6">
        <v>1.3999999999999999E-4</v>
      </c>
      <c r="H80" s="7">
        <f t="shared" si="5"/>
        <v>16.404499999999999</v>
      </c>
      <c r="I80" s="8">
        <v>9.0803800000000001E-4</v>
      </c>
      <c r="J80" s="6">
        <v>2.7439999999999999E-2</v>
      </c>
      <c r="K80" s="7">
        <f t="shared" si="6"/>
        <v>90.803799999999995</v>
      </c>
      <c r="L80" s="7">
        <f t="shared" si="7"/>
        <v>2.4916562719999997</v>
      </c>
    </row>
    <row r="81" spans="3:12" x14ac:dyDescent="0.25">
      <c r="C81" s="3">
        <v>7500</v>
      </c>
      <c r="D81" s="3">
        <v>150</v>
      </c>
      <c r="F81" s="5">
        <v>1.17119</v>
      </c>
      <c r="G81" s="6">
        <v>1.2999999999999999E-4</v>
      </c>
      <c r="H81" s="7">
        <f t="shared" si="5"/>
        <v>15.225469999999998</v>
      </c>
      <c r="I81" s="8">
        <v>8.8060500000000002E-4</v>
      </c>
      <c r="J81" s="6">
        <v>2.8500000000000001E-2</v>
      </c>
      <c r="K81" s="7">
        <f t="shared" si="6"/>
        <v>88.060500000000005</v>
      </c>
      <c r="L81" s="7">
        <f t="shared" si="7"/>
        <v>2.5097242500000001</v>
      </c>
    </row>
    <row r="82" spans="3:12" x14ac:dyDescent="0.25">
      <c r="C82" s="3">
        <v>8000</v>
      </c>
      <c r="D82" s="3">
        <v>160</v>
      </c>
      <c r="F82" s="5">
        <v>1.1703600000000001</v>
      </c>
      <c r="G82" s="6">
        <v>1.2999999999999999E-4</v>
      </c>
      <c r="H82" s="7">
        <f t="shared" si="5"/>
        <v>15.21468</v>
      </c>
      <c r="I82" s="8">
        <v>9.4268499999999996E-4</v>
      </c>
      <c r="J82" s="6">
        <v>2.7150000000000001E-2</v>
      </c>
      <c r="K82" s="7">
        <f t="shared" si="6"/>
        <v>94.268500000000003</v>
      </c>
      <c r="L82" s="7">
        <f t="shared" si="7"/>
        <v>2.5593897749999996</v>
      </c>
    </row>
    <row r="83" spans="3:12" x14ac:dyDescent="0.25">
      <c r="C83" s="3">
        <v>8500</v>
      </c>
      <c r="D83" s="3">
        <v>170</v>
      </c>
      <c r="F83" s="5">
        <v>1.16896</v>
      </c>
      <c r="G83" s="6">
        <v>1.2999999999999999E-4</v>
      </c>
      <c r="H83" s="7">
        <f t="shared" si="5"/>
        <v>15.196479999999998</v>
      </c>
      <c r="I83" s="8">
        <v>9.8216800000000006E-4</v>
      </c>
      <c r="J83" s="6">
        <v>2.6939999999999999E-2</v>
      </c>
      <c r="K83" s="7">
        <f t="shared" si="6"/>
        <v>98.216800000000006</v>
      </c>
      <c r="L83" s="7">
        <f t="shared" si="7"/>
        <v>2.6459605920000002</v>
      </c>
    </row>
    <row r="84" spans="3:12" x14ac:dyDescent="0.25">
      <c r="C84" s="3">
        <v>9000</v>
      </c>
      <c r="D84" s="3">
        <v>180</v>
      </c>
      <c r="F84" s="5">
        <v>1.16744</v>
      </c>
      <c r="G84" s="6">
        <v>1.2999999999999999E-4</v>
      </c>
      <c r="H84" s="7">
        <f t="shared" si="5"/>
        <v>15.176719999999998</v>
      </c>
      <c r="I84" s="8">
        <v>9.1546399999999995E-4</v>
      </c>
      <c r="J84" s="6">
        <v>2.7400000000000001E-2</v>
      </c>
      <c r="K84" s="7">
        <f t="shared" si="6"/>
        <v>91.546399999999991</v>
      </c>
      <c r="L84" s="7">
        <f t="shared" si="7"/>
        <v>2.5083713599999999</v>
      </c>
    </row>
    <row r="85" spans="3:12" x14ac:dyDescent="0.25">
      <c r="C85" s="3">
        <v>9500</v>
      </c>
      <c r="D85" s="3">
        <v>190</v>
      </c>
      <c r="F85" s="5">
        <v>1.1655199999999999</v>
      </c>
      <c r="G85" s="6">
        <v>1.2999999999999999E-4</v>
      </c>
      <c r="H85" s="7">
        <f t="shared" si="5"/>
        <v>15.151759999999996</v>
      </c>
      <c r="I85" s="8">
        <v>9.5717700000000003E-4</v>
      </c>
      <c r="J85" s="6">
        <v>2.6089999999999999E-2</v>
      </c>
      <c r="K85" s="7">
        <f t="shared" si="6"/>
        <v>95.717700000000008</v>
      </c>
      <c r="L85" s="7">
        <f t="shared" si="7"/>
        <v>2.4972747929999999</v>
      </c>
    </row>
    <row r="86" spans="3:12" x14ac:dyDescent="0.25">
      <c r="C86" s="3">
        <v>10000</v>
      </c>
      <c r="D86" s="3">
        <v>200</v>
      </c>
      <c r="F86" s="5">
        <v>1.1632899999999999</v>
      </c>
      <c r="G86" s="6">
        <v>1.2999999999999999E-4</v>
      </c>
      <c r="H86" s="7">
        <f t="shared" si="5"/>
        <v>15.122769999999997</v>
      </c>
      <c r="I86" s="8">
        <v>1.04075E-3</v>
      </c>
      <c r="J86" s="6">
        <v>2.589E-2</v>
      </c>
      <c r="K86" s="7">
        <f t="shared" si="6"/>
        <v>104.075</v>
      </c>
      <c r="L86" s="7">
        <f t="shared" si="7"/>
        <v>2.6945017500000001</v>
      </c>
    </row>
    <row r="87" spans="3:12" x14ac:dyDescent="0.25">
      <c r="C87" s="3">
        <v>10500</v>
      </c>
      <c r="D87" s="3">
        <v>210</v>
      </c>
      <c r="F87" s="5">
        <v>1.1604699999999999</v>
      </c>
      <c r="G87" s="6">
        <v>1.2999999999999999E-4</v>
      </c>
      <c r="H87" s="7">
        <f t="shared" si="5"/>
        <v>15.086109999999996</v>
      </c>
      <c r="I87" s="8">
        <v>9.7200599999999998E-4</v>
      </c>
      <c r="J87" s="6">
        <v>2.648E-2</v>
      </c>
      <c r="K87" s="7">
        <f t="shared" si="6"/>
        <v>97.200599999999994</v>
      </c>
      <c r="L87" s="7">
        <f t="shared" si="7"/>
        <v>2.5738718879999998</v>
      </c>
    </row>
    <row r="88" spans="3:12" x14ac:dyDescent="0.25">
      <c r="C88" s="3">
        <v>11000</v>
      </c>
      <c r="D88" s="3">
        <v>220</v>
      </c>
      <c r="F88" s="5">
        <v>1.1573899999999999</v>
      </c>
      <c r="G88" s="6">
        <v>1.2E-4</v>
      </c>
      <c r="H88" s="7">
        <f t="shared" si="5"/>
        <v>13.888679999999999</v>
      </c>
      <c r="I88" s="8">
        <v>1.07014E-3</v>
      </c>
      <c r="J88" s="6">
        <v>2.6079999999999999E-2</v>
      </c>
      <c r="K88" s="7">
        <f t="shared" si="6"/>
        <v>107.014</v>
      </c>
      <c r="L88" s="7">
        <f t="shared" si="7"/>
        <v>2.7909251199999998</v>
      </c>
    </row>
    <row r="89" spans="3:12" x14ac:dyDescent="0.25">
      <c r="C89" s="3">
        <v>11500</v>
      </c>
      <c r="D89" s="3">
        <v>230</v>
      </c>
      <c r="F89" s="5">
        <v>1.1540999999999999</v>
      </c>
      <c r="G89" s="6">
        <v>1.2E-4</v>
      </c>
      <c r="H89" s="7">
        <f t="shared" si="5"/>
        <v>13.8492</v>
      </c>
      <c r="I89" s="8">
        <v>1.0203899999999999E-3</v>
      </c>
      <c r="J89" s="6">
        <v>2.614E-2</v>
      </c>
      <c r="K89" s="7">
        <f t="shared" si="6"/>
        <v>102.03899999999999</v>
      </c>
      <c r="L89" s="7">
        <f t="shared" si="7"/>
        <v>2.6672994599999997</v>
      </c>
    </row>
    <row r="90" spans="3:12" x14ac:dyDescent="0.25">
      <c r="C90" s="3">
        <v>12000</v>
      </c>
      <c r="D90" s="3">
        <v>240</v>
      </c>
      <c r="F90" s="5">
        <v>1.1503399999999999</v>
      </c>
      <c r="G90" s="6">
        <v>1.2999999999999999E-4</v>
      </c>
      <c r="H90" s="7">
        <f t="shared" si="5"/>
        <v>14.954419999999997</v>
      </c>
      <c r="I90" s="8">
        <v>1.05463E-3</v>
      </c>
      <c r="J90" s="6">
        <v>2.6089999999999999E-2</v>
      </c>
      <c r="K90" s="7">
        <f t="shared" si="6"/>
        <v>105.46299999999999</v>
      </c>
      <c r="L90" s="7">
        <f t="shared" si="7"/>
        <v>2.7515296699999996</v>
      </c>
    </row>
    <row r="91" spans="3:12" x14ac:dyDescent="0.25">
      <c r="C91" s="3">
        <v>12500</v>
      </c>
      <c r="D91" s="3">
        <v>250</v>
      </c>
      <c r="F91" s="5">
        <v>1.1463300000000001</v>
      </c>
      <c r="G91" s="6">
        <v>1.2E-4</v>
      </c>
      <c r="H91" s="7">
        <f t="shared" si="5"/>
        <v>13.755960000000002</v>
      </c>
      <c r="I91" s="8">
        <v>1.0710800000000001E-3</v>
      </c>
      <c r="J91" s="6">
        <v>2.6040000000000001E-2</v>
      </c>
      <c r="K91" s="7">
        <f t="shared" si="6"/>
        <v>107.108</v>
      </c>
      <c r="L91" s="7">
        <f t="shared" si="7"/>
        <v>2.7890923200000004</v>
      </c>
    </row>
    <row r="93" spans="3:12" x14ac:dyDescent="0.25">
      <c r="C93" s="24" t="s">
        <v>67</v>
      </c>
      <c r="D93" s="24"/>
      <c r="F93" s="24" t="s">
        <v>8</v>
      </c>
      <c r="G93" s="24"/>
      <c r="H93" s="24"/>
      <c r="I93" s="24"/>
      <c r="J93" s="24"/>
      <c r="K93" s="24"/>
      <c r="L93" s="24"/>
    </row>
    <row r="94" spans="3:12" x14ac:dyDescent="0.25">
      <c r="C94" s="3" t="s">
        <v>2</v>
      </c>
      <c r="D94" s="3" t="s">
        <v>69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4</v>
      </c>
      <c r="K94" s="3" t="s">
        <v>7</v>
      </c>
      <c r="L94" s="3" t="s">
        <v>5</v>
      </c>
    </row>
    <row r="95" spans="3:12" x14ac:dyDescent="0.25">
      <c r="C95" s="3">
        <v>0</v>
      </c>
      <c r="D95" s="3">
        <v>0</v>
      </c>
      <c r="F95" s="5">
        <v>1.1226100000000001</v>
      </c>
      <c r="G95" s="6">
        <v>1.6000000000000001E-4</v>
      </c>
      <c r="H95" s="7">
        <f>G95*100000*F95</f>
        <v>17.961760000000002</v>
      </c>
      <c r="I95" s="8">
        <v>6.0912399999999995E-4</v>
      </c>
      <c r="J95" s="6">
        <v>3.4860000000000002E-2</v>
      </c>
      <c r="K95" s="7">
        <f>I95*100000</f>
        <v>60.912399999999998</v>
      </c>
      <c r="L95" s="7">
        <f>I95*J95*100000</f>
        <v>2.1234062639999998</v>
      </c>
    </row>
    <row r="96" spans="3:12" x14ac:dyDescent="0.25">
      <c r="C96" s="3">
        <v>250</v>
      </c>
      <c r="D96" s="3">
        <v>5</v>
      </c>
      <c r="F96" s="5">
        <v>1.12738</v>
      </c>
      <c r="G96" s="6">
        <v>1.6000000000000001E-4</v>
      </c>
      <c r="H96" s="7">
        <f t="shared" ref="H96:H121" si="8">G96*100000*F96</f>
        <v>18.038080000000001</v>
      </c>
      <c r="I96" s="8">
        <v>6.2784799999999997E-4</v>
      </c>
      <c r="J96" s="6">
        <v>3.4729999999999997E-2</v>
      </c>
      <c r="K96" s="7">
        <f t="shared" ref="K96:K121" si="9">I96*100000</f>
        <v>62.784799999999997</v>
      </c>
      <c r="L96" s="7">
        <f t="shared" ref="L96:L121" si="10">I96*J96*100000</f>
        <v>2.1805161040000001</v>
      </c>
    </row>
    <row r="97" spans="3:12" x14ac:dyDescent="0.25">
      <c r="C97" s="3">
        <v>500</v>
      </c>
      <c r="D97" s="3">
        <v>10</v>
      </c>
      <c r="F97" s="5">
        <v>1.1313200000000001</v>
      </c>
      <c r="G97" s="6">
        <v>1.6000000000000001E-4</v>
      </c>
      <c r="H97" s="7">
        <f t="shared" si="8"/>
        <v>18.101120000000002</v>
      </c>
      <c r="I97" s="8">
        <v>6.0074900000000003E-4</v>
      </c>
      <c r="J97" s="6">
        <v>3.4660000000000003E-2</v>
      </c>
      <c r="K97" s="7">
        <f t="shared" si="9"/>
        <v>60.074900000000007</v>
      </c>
      <c r="L97" s="7">
        <f t="shared" si="10"/>
        <v>2.0821960340000003</v>
      </c>
    </row>
    <row r="98" spans="3:12" x14ac:dyDescent="0.25">
      <c r="C98" s="3">
        <v>1000</v>
      </c>
      <c r="D98" s="3">
        <v>20</v>
      </c>
      <c r="F98" s="5">
        <v>1.1380399999999999</v>
      </c>
      <c r="G98" s="6">
        <v>1.6000000000000001E-4</v>
      </c>
      <c r="H98" s="7">
        <f t="shared" si="8"/>
        <v>18.208639999999999</v>
      </c>
      <c r="I98" s="8">
        <v>6.64972E-4</v>
      </c>
      <c r="J98" s="6">
        <v>3.3759999999999998E-2</v>
      </c>
      <c r="K98" s="7">
        <f t="shared" si="9"/>
        <v>66.497200000000007</v>
      </c>
      <c r="L98" s="7">
        <f t="shared" si="10"/>
        <v>2.2449454719999999</v>
      </c>
    </row>
    <row r="99" spans="3:12" x14ac:dyDescent="0.25">
      <c r="C99" s="3">
        <v>1500</v>
      </c>
      <c r="D99" s="3">
        <v>30</v>
      </c>
      <c r="F99" s="5">
        <v>1.1446700000000001</v>
      </c>
      <c r="G99" s="6">
        <v>1.6000000000000001E-4</v>
      </c>
      <c r="H99" s="7">
        <f t="shared" si="8"/>
        <v>18.314720000000001</v>
      </c>
      <c r="I99" s="8">
        <v>6.8123499999999998E-4</v>
      </c>
      <c r="J99" s="6">
        <v>3.2039999999999999E-2</v>
      </c>
      <c r="K99" s="7">
        <f t="shared" si="9"/>
        <v>68.123499999999993</v>
      </c>
      <c r="L99" s="7">
        <f t="shared" si="10"/>
        <v>2.1826769399999999</v>
      </c>
    </row>
    <row r="100" spans="3:12" x14ac:dyDescent="0.25">
      <c r="C100" s="3">
        <v>2000</v>
      </c>
      <c r="D100" s="3">
        <v>40</v>
      </c>
      <c r="F100" s="5">
        <v>1.1495899999999999</v>
      </c>
      <c r="G100" s="6">
        <v>1.4999999999999999E-4</v>
      </c>
      <c r="H100" s="7">
        <f t="shared" si="8"/>
        <v>17.243849999999995</v>
      </c>
      <c r="I100" s="8">
        <v>7.2092900000000004E-4</v>
      </c>
      <c r="J100" s="6">
        <v>3.0960000000000001E-2</v>
      </c>
      <c r="K100" s="7">
        <f t="shared" si="9"/>
        <v>72.0929</v>
      </c>
      <c r="L100" s="7">
        <f t="shared" si="10"/>
        <v>2.2319961840000002</v>
      </c>
    </row>
    <row r="101" spans="3:12" x14ac:dyDescent="0.25">
      <c r="C101" s="3">
        <v>2500</v>
      </c>
      <c r="D101" s="3">
        <v>50</v>
      </c>
      <c r="F101" s="5">
        <v>1.1546400000000001</v>
      </c>
      <c r="G101" s="6">
        <v>1.4999999999999999E-4</v>
      </c>
      <c r="H101" s="7">
        <f t="shared" si="8"/>
        <v>17.319600000000001</v>
      </c>
      <c r="I101" s="8">
        <v>7.3956200000000003E-4</v>
      </c>
      <c r="J101" s="6">
        <v>2.9829999999999999E-2</v>
      </c>
      <c r="K101" s="7">
        <f t="shared" si="9"/>
        <v>73.95620000000001</v>
      </c>
      <c r="L101" s="7">
        <f t="shared" si="10"/>
        <v>2.2061134459999998</v>
      </c>
    </row>
    <row r="102" spans="3:12" x14ac:dyDescent="0.25">
      <c r="C102" s="3">
        <v>3000</v>
      </c>
      <c r="D102" s="3">
        <v>60</v>
      </c>
      <c r="F102" s="5">
        <v>1.1585300000000001</v>
      </c>
      <c r="G102" s="6">
        <v>1.4999999999999999E-4</v>
      </c>
      <c r="H102" s="7">
        <f t="shared" si="8"/>
        <v>17.377949999999998</v>
      </c>
      <c r="I102" s="8">
        <v>7.3272799999999998E-4</v>
      </c>
      <c r="J102" s="6">
        <v>3.041E-2</v>
      </c>
      <c r="K102" s="7">
        <f t="shared" si="9"/>
        <v>73.272800000000004</v>
      </c>
      <c r="L102" s="7">
        <f t="shared" si="10"/>
        <v>2.2282258479999997</v>
      </c>
    </row>
    <row r="103" spans="3:12" x14ac:dyDescent="0.25">
      <c r="C103" s="3">
        <v>3500</v>
      </c>
      <c r="D103" s="3">
        <v>70</v>
      </c>
      <c r="F103" s="5">
        <v>1.1623000000000001</v>
      </c>
      <c r="G103" s="6">
        <v>1.4999999999999999E-4</v>
      </c>
      <c r="H103" s="7">
        <f t="shared" si="8"/>
        <v>17.4345</v>
      </c>
      <c r="I103" s="8">
        <v>7.9994500000000004E-4</v>
      </c>
      <c r="J103" s="6">
        <v>2.9430000000000001E-2</v>
      </c>
      <c r="K103" s="7">
        <f t="shared" si="9"/>
        <v>79.994500000000002</v>
      </c>
      <c r="L103" s="7">
        <f t="shared" si="10"/>
        <v>2.3542381350000001</v>
      </c>
    </row>
    <row r="104" spans="3:12" x14ac:dyDescent="0.25">
      <c r="C104" s="3">
        <v>4000</v>
      </c>
      <c r="D104" s="3">
        <v>80</v>
      </c>
      <c r="F104" s="5">
        <v>1.1650100000000001</v>
      </c>
      <c r="G104" s="6">
        <v>1.3999999999999999E-4</v>
      </c>
      <c r="H104" s="7">
        <f t="shared" si="8"/>
        <v>16.310140000000001</v>
      </c>
      <c r="I104" s="8">
        <v>8.0055100000000004E-4</v>
      </c>
      <c r="J104" s="6">
        <v>3.041E-2</v>
      </c>
      <c r="K104" s="7">
        <f t="shared" si="9"/>
        <v>80.05510000000001</v>
      </c>
      <c r="L104" s="7">
        <f t="shared" si="10"/>
        <v>2.4344755910000004</v>
      </c>
    </row>
    <row r="105" spans="3:12" x14ac:dyDescent="0.25">
      <c r="C105" s="3">
        <v>4500</v>
      </c>
      <c r="D105" s="3">
        <v>90</v>
      </c>
      <c r="F105" s="5">
        <v>1.1672899999999999</v>
      </c>
      <c r="G105" s="6">
        <v>1.4999999999999999E-4</v>
      </c>
      <c r="H105" s="7">
        <f t="shared" si="8"/>
        <v>17.509349999999998</v>
      </c>
      <c r="I105" s="8">
        <v>8.4330500000000003E-4</v>
      </c>
      <c r="J105" s="6">
        <v>2.9069999999999999E-2</v>
      </c>
      <c r="K105" s="7">
        <f t="shared" si="9"/>
        <v>84.330500000000001</v>
      </c>
      <c r="L105" s="7">
        <f t="shared" si="10"/>
        <v>2.4514876349999999</v>
      </c>
    </row>
    <row r="106" spans="3:12" x14ac:dyDescent="0.25">
      <c r="C106" s="3">
        <v>5000</v>
      </c>
      <c r="D106" s="3">
        <v>100</v>
      </c>
      <c r="F106" s="5">
        <v>1.16899</v>
      </c>
      <c r="G106" s="6">
        <v>1.3999999999999999E-4</v>
      </c>
      <c r="H106" s="7">
        <f t="shared" si="8"/>
        <v>16.365859999999998</v>
      </c>
      <c r="I106" s="8">
        <v>8.2552799999999996E-4</v>
      </c>
      <c r="J106" s="6">
        <v>2.8479999999999998E-2</v>
      </c>
      <c r="K106" s="7">
        <f t="shared" si="9"/>
        <v>82.552799999999991</v>
      </c>
      <c r="L106" s="7">
        <f t="shared" si="10"/>
        <v>2.3511037439999996</v>
      </c>
    </row>
    <row r="107" spans="3:12" x14ac:dyDescent="0.25">
      <c r="C107" s="3">
        <v>5500</v>
      </c>
      <c r="D107" s="3">
        <v>110</v>
      </c>
      <c r="F107" s="5">
        <v>1.1706399999999999</v>
      </c>
      <c r="G107" s="6">
        <v>1.3999999999999999E-4</v>
      </c>
      <c r="H107" s="7">
        <f t="shared" si="8"/>
        <v>16.388959999999997</v>
      </c>
      <c r="I107" s="8">
        <v>8.62969E-4</v>
      </c>
      <c r="J107" s="6">
        <v>2.8680000000000001E-2</v>
      </c>
      <c r="K107" s="7">
        <f t="shared" si="9"/>
        <v>86.296899999999994</v>
      </c>
      <c r="L107" s="7">
        <f t="shared" si="10"/>
        <v>2.4749950919999999</v>
      </c>
    </row>
    <row r="108" spans="3:12" x14ac:dyDescent="0.25">
      <c r="C108" s="3">
        <v>6000</v>
      </c>
      <c r="D108" s="3">
        <v>120</v>
      </c>
      <c r="F108" s="5">
        <v>1.1710799999999999</v>
      </c>
      <c r="G108" s="6">
        <v>1.3999999999999999E-4</v>
      </c>
      <c r="H108" s="7">
        <f t="shared" si="8"/>
        <v>16.395119999999995</v>
      </c>
      <c r="I108" s="8">
        <v>8.5001599999999999E-4</v>
      </c>
      <c r="J108" s="6">
        <v>2.8219999999999999E-2</v>
      </c>
      <c r="K108" s="7">
        <f t="shared" si="9"/>
        <v>85.001599999999996</v>
      </c>
      <c r="L108" s="7">
        <f t="shared" si="10"/>
        <v>2.3987451519999996</v>
      </c>
    </row>
    <row r="109" spans="3:12" x14ac:dyDescent="0.25">
      <c r="C109" s="3">
        <v>6500</v>
      </c>
      <c r="D109" s="3">
        <v>130</v>
      </c>
      <c r="F109" s="5">
        <v>1.17167</v>
      </c>
      <c r="G109" s="6">
        <v>1.3999999999999999E-4</v>
      </c>
      <c r="H109" s="7">
        <f t="shared" si="8"/>
        <v>16.403379999999999</v>
      </c>
      <c r="I109" s="8">
        <v>8.5298600000000002E-4</v>
      </c>
      <c r="J109" s="6">
        <v>2.7730000000000001E-2</v>
      </c>
      <c r="K109" s="7">
        <f t="shared" si="9"/>
        <v>85.298600000000008</v>
      </c>
      <c r="L109" s="7">
        <f t="shared" si="10"/>
        <v>2.3653301780000002</v>
      </c>
    </row>
    <row r="110" spans="3:12" x14ac:dyDescent="0.25">
      <c r="C110" s="3">
        <v>7000</v>
      </c>
      <c r="D110" s="3">
        <v>140</v>
      </c>
      <c r="F110" s="5">
        <v>1.1717599999999999</v>
      </c>
      <c r="G110" s="6">
        <v>1.3999999999999999E-4</v>
      </c>
      <c r="H110" s="7">
        <f t="shared" si="8"/>
        <v>16.404639999999997</v>
      </c>
      <c r="I110" s="8">
        <v>8.7499400000000003E-4</v>
      </c>
      <c r="J110" s="6">
        <v>2.7050000000000001E-2</v>
      </c>
      <c r="K110" s="7">
        <f t="shared" si="9"/>
        <v>87.499400000000009</v>
      </c>
      <c r="L110" s="7">
        <f t="shared" si="10"/>
        <v>2.3668587700000003</v>
      </c>
    </row>
    <row r="111" spans="3:12" x14ac:dyDescent="0.25">
      <c r="C111" s="3">
        <v>7500</v>
      </c>
      <c r="D111" s="3">
        <v>150</v>
      </c>
      <c r="F111" s="5">
        <v>1.1710700000000001</v>
      </c>
      <c r="G111" s="6">
        <v>1.2999999999999999E-4</v>
      </c>
      <c r="H111" s="7">
        <f t="shared" si="8"/>
        <v>15.223909999999998</v>
      </c>
      <c r="I111" s="8">
        <v>8.8687E-4</v>
      </c>
      <c r="J111" s="6">
        <v>2.741E-2</v>
      </c>
      <c r="K111" s="7">
        <f t="shared" si="9"/>
        <v>88.686999999999998</v>
      </c>
      <c r="L111" s="7">
        <f t="shared" si="10"/>
        <v>2.4309106700000003</v>
      </c>
    </row>
    <row r="112" spans="3:12" x14ac:dyDescent="0.25">
      <c r="C112" s="3">
        <v>8000</v>
      </c>
      <c r="D112" s="3">
        <v>160</v>
      </c>
      <c r="F112" s="5">
        <v>1.17022</v>
      </c>
      <c r="G112" s="6">
        <v>1.2999999999999999E-4</v>
      </c>
      <c r="H112" s="7">
        <f t="shared" si="8"/>
        <v>15.212859999999999</v>
      </c>
      <c r="I112" s="8">
        <v>8.9341500000000005E-4</v>
      </c>
      <c r="J112" s="6">
        <v>2.7310000000000001E-2</v>
      </c>
      <c r="K112" s="7">
        <f t="shared" si="9"/>
        <v>89.341500000000011</v>
      </c>
      <c r="L112" s="7">
        <f t="shared" si="10"/>
        <v>2.4399163650000002</v>
      </c>
    </row>
    <row r="113" spans="3:12" x14ac:dyDescent="0.25">
      <c r="C113" s="3">
        <v>8500</v>
      </c>
      <c r="D113" s="3">
        <v>170</v>
      </c>
      <c r="F113" s="5">
        <v>1.16899</v>
      </c>
      <c r="G113" s="6">
        <v>1.2999999999999999E-4</v>
      </c>
      <c r="H113" s="7">
        <f t="shared" si="8"/>
        <v>15.196869999999997</v>
      </c>
      <c r="I113" s="8">
        <v>9.4327799999999998E-4</v>
      </c>
      <c r="J113" s="6">
        <v>2.708E-2</v>
      </c>
      <c r="K113" s="7">
        <f t="shared" si="9"/>
        <v>94.327799999999996</v>
      </c>
      <c r="L113" s="7">
        <f t="shared" si="10"/>
        <v>2.5543968239999999</v>
      </c>
    </row>
    <row r="114" spans="3:12" x14ac:dyDescent="0.25">
      <c r="C114" s="3">
        <v>9000</v>
      </c>
      <c r="D114" s="3">
        <v>180</v>
      </c>
      <c r="F114" s="5">
        <v>1.1677299999999999</v>
      </c>
      <c r="G114" s="6">
        <v>1.2999999999999999E-4</v>
      </c>
      <c r="H114" s="7">
        <f t="shared" si="8"/>
        <v>15.180489999999997</v>
      </c>
      <c r="I114" s="8">
        <v>9.809860000000001E-4</v>
      </c>
      <c r="J114" s="6">
        <v>2.623E-2</v>
      </c>
      <c r="K114" s="7">
        <f t="shared" si="9"/>
        <v>98.098600000000005</v>
      </c>
      <c r="L114" s="7">
        <f t="shared" si="10"/>
        <v>2.5731262780000002</v>
      </c>
    </row>
    <row r="115" spans="3:12" x14ac:dyDescent="0.25">
      <c r="C115" s="3">
        <v>9500</v>
      </c>
      <c r="D115" s="3">
        <v>190</v>
      </c>
      <c r="F115" s="5">
        <v>1.16543</v>
      </c>
      <c r="G115" s="6">
        <v>1.2999999999999999E-4</v>
      </c>
      <c r="H115" s="7">
        <f t="shared" si="8"/>
        <v>15.150589999999998</v>
      </c>
      <c r="I115" s="8">
        <v>9.7970000000000002E-4</v>
      </c>
      <c r="J115" s="6">
        <v>2.6839999999999999E-2</v>
      </c>
      <c r="K115" s="7">
        <f t="shared" si="9"/>
        <v>97.97</v>
      </c>
      <c r="L115" s="7">
        <f t="shared" si="10"/>
        <v>2.6295147999999999</v>
      </c>
    </row>
    <row r="116" spans="3:12" x14ac:dyDescent="0.25">
      <c r="C116" s="3">
        <v>10000</v>
      </c>
      <c r="D116" s="3">
        <v>200</v>
      </c>
      <c r="F116" s="5">
        <v>1.1631800000000001</v>
      </c>
      <c r="G116" s="6">
        <v>1.2999999999999999E-4</v>
      </c>
      <c r="H116" s="7">
        <f t="shared" si="8"/>
        <v>15.12134</v>
      </c>
      <c r="I116" s="8">
        <v>1.01107E-3</v>
      </c>
      <c r="J116" s="6">
        <v>2.6929999999999999E-2</v>
      </c>
      <c r="K116" s="7">
        <f t="shared" si="9"/>
        <v>101.107</v>
      </c>
      <c r="L116" s="7">
        <f t="shared" si="10"/>
        <v>2.7228115099999997</v>
      </c>
    </row>
    <row r="117" spans="3:12" x14ac:dyDescent="0.25">
      <c r="C117" s="3">
        <v>10500</v>
      </c>
      <c r="D117" s="3">
        <v>210</v>
      </c>
      <c r="F117" s="5">
        <v>1.1602699999999999</v>
      </c>
      <c r="G117" s="6">
        <v>1.2999999999999999E-4</v>
      </c>
      <c r="H117" s="7">
        <f t="shared" si="8"/>
        <v>15.083509999999997</v>
      </c>
      <c r="I117" s="8">
        <v>1.00764E-3</v>
      </c>
      <c r="J117" s="6">
        <v>2.5569999999999999E-2</v>
      </c>
      <c r="K117" s="7">
        <f t="shared" si="9"/>
        <v>100.764</v>
      </c>
      <c r="L117" s="7">
        <f t="shared" si="10"/>
        <v>2.57653548</v>
      </c>
    </row>
    <row r="118" spans="3:12" x14ac:dyDescent="0.25">
      <c r="C118" s="3">
        <v>11000</v>
      </c>
      <c r="D118" s="3">
        <v>220</v>
      </c>
      <c r="F118" s="5">
        <v>1.1574599999999999</v>
      </c>
      <c r="G118" s="6">
        <v>1.2E-4</v>
      </c>
      <c r="H118" s="7">
        <f t="shared" si="8"/>
        <v>13.889519999999999</v>
      </c>
      <c r="I118" s="8">
        <v>1.0063299999999999E-3</v>
      </c>
      <c r="J118" s="6">
        <v>2.6429999999999999E-2</v>
      </c>
      <c r="K118" s="7">
        <f t="shared" si="9"/>
        <v>100.633</v>
      </c>
      <c r="L118" s="7">
        <f t="shared" si="10"/>
        <v>2.6597301899999999</v>
      </c>
    </row>
    <row r="119" spans="3:12" x14ac:dyDescent="0.25">
      <c r="C119" s="3">
        <v>11500</v>
      </c>
      <c r="D119" s="3">
        <v>230</v>
      </c>
      <c r="F119" s="5">
        <v>1.1541699999999999</v>
      </c>
      <c r="G119" s="6">
        <v>1.2E-4</v>
      </c>
      <c r="H119" s="7">
        <f t="shared" si="8"/>
        <v>13.85004</v>
      </c>
      <c r="I119" s="8">
        <v>1.05367E-3</v>
      </c>
      <c r="J119" s="6">
        <v>2.5569999999999999E-2</v>
      </c>
      <c r="K119" s="7">
        <f t="shared" si="9"/>
        <v>105.367</v>
      </c>
      <c r="L119" s="7">
        <f t="shared" si="10"/>
        <v>2.69423419</v>
      </c>
    </row>
    <row r="120" spans="3:12" x14ac:dyDescent="0.25">
      <c r="C120" s="3">
        <v>12000</v>
      </c>
      <c r="D120" s="3">
        <v>240</v>
      </c>
      <c r="F120" s="5">
        <v>1.1504700000000001</v>
      </c>
      <c r="G120" s="6">
        <v>1.2999999999999999E-4</v>
      </c>
      <c r="H120" s="7">
        <f t="shared" si="8"/>
        <v>14.956109999999999</v>
      </c>
      <c r="I120" s="8">
        <v>1.09274E-3</v>
      </c>
      <c r="J120" s="6">
        <v>2.538E-2</v>
      </c>
      <c r="K120" s="7">
        <f t="shared" si="9"/>
        <v>109.274</v>
      </c>
      <c r="L120" s="7">
        <f t="shared" si="10"/>
        <v>2.7733741200000002</v>
      </c>
    </row>
    <row r="121" spans="3:12" x14ac:dyDescent="0.25">
      <c r="C121" s="3">
        <v>12500</v>
      </c>
      <c r="D121" s="3">
        <v>250</v>
      </c>
      <c r="F121" s="5">
        <v>1.1463000000000001</v>
      </c>
      <c r="G121" s="6">
        <v>1.2E-4</v>
      </c>
      <c r="H121" s="7">
        <f t="shared" si="8"/>
        <v>13.755600000000001</v>
      </c>
      <c r="I121" s="8">
        <v>1.0754600000000001E-3</v>
      </c>
      <c r="J121" s="6">
        <v>2.5909999999999999E-2</v>
      </c>
      <c r="K121" s="7">
        <f t="shared" si="9"/>
        <v>107.54600000000001</v>
      </c>
      <c r="L121" s="7">
        <f t="shared" si="10"/>
        <v>2.7865168599999999</v>
      </c>
    </row>
  </sheetData>
  <mergeCells count="8">
    <mergeCell ref="C93:D93"/>
    <mergeCell ref="F93:L93"/>
    <mergeCell ref="C3:D3"/>
    <mergeCell ref="F3:L3"/>
    <mergeCell ref="C33:D33"/>
    <mergeCell ref="F33:L33"/>
    <mergeCell ref="C63:D63"/>
    <mergeCell ref="F63:L6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297-762D-4ECE-A3F2-6E4A5A370919}">
  <dimension ref="C2:N121"/>
  <sheetViews>
    <sheetView zoomScale="115" zoomScaleNormal="115" workbookViewId="0">
      <selection activeCell="W51" sqref="W51"/>
    </sheetView>
  </sheetViews>
  <sheetFormatPr defaultRowHeight="15" x14ac:dyDescent="0.25"/>
  <cols>
    <col min="1" max="3" width="9" style="2"/>
    <col min="4" max="4" width="9.25" style="2" customWidth="1"/>
    <col min="5" max="6" width="9" style="2"/>
    <col min="7" max="7" width="9.375" style="2" customWidth="1"/>
    <col min="8" max="8" width="10.625" style="2" customWidth="1"/>
    <col min="9" max="9" width="10" style="2" customWidth="1"/>
    <col min="10" max="10" width="9.25" style="2" customWidth="1"/>
    <col min="11" max="11" width="12" style="2" customWidth="1"/>
    <col min="12" max="12" width="11.875" style="2" customWidth="1"/>
    <col min="13" max="17" width="9" style="2"/>
    <col min="18" max="20" width="8" style="2" customWidth="1"/>
    <col min="21" max="16384" width="9" style="2"/>
  </cols>
  <sheetData>
    <row r="2" spans="3:12" x14ac:dyDescent="0.25">
      <c r="C2" s="1" t="s">
        <v>66</v>
      </c>
    </row>
    <row r="3" spans="3:12" x14ac:dyDescent="0.25">
      <c r="C3" s="24" t="s">
        <v>67</v>
      </c>
      <c r="D3" s="24"/>
      <c r="F3" s="24" t="s">
        <v>68</v>
      </c>
      <c r="G3" s="24"/>
      <c r="H3" s="24"/>
      <c r="I3" s="24"/>
      <c r="J3" s="24"/>
      <c r="K3" s="24"/>
      <c r="L3" s="24"/>
    </row>
    <row r="4" spans="3:12" x14ac:dyDescent="0.25">
      <c r="C4" s="3" t="s">
        <v>2</v>
      </c>
      <c r="D4" s="3" t="s">
        <v>69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4</v>
      </c>
      <c r="K4" s="3" t="s">
        <v>7</v>
      </c>
      <c r="L4" s="3" t="s">
        <v>5</v>
      </c>
    </row>
    <row r="5" spans="3:12" x14ac:dyDescent="0.25">
      <c r="C5" s="3">
        <v>0</v>
      </c>
      <c r="D5" s="3">
        <v>0</v>
      </c>
      <c r="F5" s="5">
        <v>1.189891</v>
      </c>
      <c r="G5" s="8">
        <v>2.05E-4</v>
      </c>
      <c r="H5" s="7">
        <f>G5*100000</f>
        <v>20.5</v>
      </c>
      <c r="I5" s="8">
        <v>5.804308E-4</v>
      </c>
      <c r="J5" s="8">
        <v>1.4818699999999999E-5</v>
      </c>
      <c r="K5" s="7">
        <f>I5*100000</f>
        <v>58.043080000000003</v>
      </c>
      <c r="L5" s="7">
        <f>J5*100000</f>
        <v>1.48187</v>
      </c>
    </row>
    <row r="6" spans="3:12" x14ac:dyDescent="0.25">
      <c r="C6" s="3">
        <v>250</v>
      </c>
      <c r="D6" s="3">
        <v>5</v>
      </c>
      <c r="F6" s="5">
        <v>1.197603</v>
      </c>
      <c r="G6" s="8">
        <v>2.1699999999999999E-4</v>
      </c>
      <c r="H6" s="7">
        <f t="shared" ref="H6:H31" si="0">G6*100000</f>
        <v>21.7</v>
      </c>
      <c r="I6" s="8">
        <v>6.0959909999999998E-4</v>
      </c>
      <c r="J6" s="8">
        <v>1.591821E-5</v>
      </c>
      <c r="K6" s="7">
        <f t="shared" ref="K6:L31" si="1">I6*100000</f>
        <v>60.959910000000001</v>
      </c>
      <c r="L6" s="7">
        <f t="shared" si="1"/>
        <v>1.5918209999999999</v>
      </c>
    </row>
    <row r="7" spans="3:12" x14ac:dyDescent="0.25">
      <c r="C7" s="3">
        <v>500</v>
      </c>
      <c r="D7" s="3">
        <v>10</v>
      </c>
      <c r="F7" s="5">
        <v>1.20397</v>
      </c>
      <c r="G7" s="8">
        <v>1.85E-4</v>
      </c>
      <c r="H7" s="7">
        <f t="shared" si="0"/>
        <v>18.5</v>
      </c>
      <c r="I7" s="8">
        <v>6.2139740000000001E-4</v>
      </c>
      <c r="J7" s="8">
        <v>1.5509759999999999E-5</v>
      </c>
      <c r="K7" s="7">
        <f t="shared" si="1"/>
        <v>62.139740000000003</v>
      </c>
      <c r="L7" s="7">
        <f t="shared" si="1"/>
        <v>1.5509759999999999</v>
      </c>
    </row>
    <row r="8" spans="3:12" x14ac:dyDescent="0.25">
      <c r="C8" s="3">
        <v>1000</v>
      </c>
      <c r="D8" s="3">
        <v>20</v>
      </c>
      <c r="F8" s="5">
        <v>1.21618</v>
      </c>
      <c r="G8" s="8">
        <v>2.1499999999999999E-4</v>
      </c>
      <c r="H8" s="7">
        <f t="shared" si="0"/>
        <v>21.5</v>
      </c>
      <c r="I8" s="8">
        <v>6.5991810000000004E-4</v>
      </c>
      <c r="J8" s="8">
        <v>1.7358670000000002E-5</v>
      </c>
      <c r="K8" s="7">
        <f t="shared" si="1"/>
        <v>65.991810000000001</v>
      </c>
      <c r="L8" s="7">
        <f t="shared" si="1"/>
        <v>1.7358670000000003</v>
      </c>
    </row>
    <row r="9" spans="3:12" x14ac:dyDescent="0.25">
      <c r="C9" s="3">
        <v>1500</v>
      </c>
      <c r="D9" s="3">
        <v>30</v>
      </c>
      <c r="F9" s="5">
        <v>1.22678</v>
      </c>
      <c r="G9" s="8">
        <v>1.8200000000000001E-4</v>
      </c>
      <c r="H9" s="7">
        <f t="shared" si="0"/>
        <v>18.2</v>
      </c>
      <c r="I9" s="8">
        <v>7.0051130000000001E-4</v>
      </c>
      <c r="J9" s="8">
        <v>1.65552E-5</v>
      </c>
      <c r="K9" s="7">
        <f t="shared" si="1"/>
        <v>70.051130000000001</v>
      </c>
      <c r="L9" s="7">
        <f t="shared" si="1"/>
        <v>1.6555200000000001</v>
      </c>
    </row>
    <row r="10" spans="3:12" x14ac:dyDescent="0.25">
      <c r="C10" s="3">
        <v>2000</v>
      </c>
      <c r="D10" s="3">
        <v>40</v>
      </c>
      <c r="F10" s="5">
        <v>1.2365409999999999</v>
      </c>
      <c r="G10" s="8">
        <v>1.94E-4</v>
      </c>
      <c r="H10" s="7">
        <f t="shared" si="0"/>
        <v>19.399999999999999</v>
      </c>
      <c r="I10" s="8">
        <v>7.3882720000000002E-4</v>
      </c>
      <c r="J10" s="8">
        <v>1.646439E-5</v>
      </c>
      <c r="K10" s="7">
        <f t="shared" si="1"/>
        <v>73.882720000000006</v>
      </c>
      <c r="L10" s="7">
        <f t="shared" si="1"/>
        <v>1.646439</v>
      </c>
    </row>
    <row r="11" spans="3:12" x14ac:dyDescent="0.25">
      <c r="C11" s="3">
        <v>2500</v>
      </c>
      <c r="D11" s="3">
        <v>50</v>
      </c>
      <c r="F11" s="5">
        <v>1.2454559999999999</v>
      </c>
      <c r="G11" s="8">
        <v>1.8100000000000001E-4</v>
      </c>
      <c r="H11" s="7">
        <f t="shared" si="0"/>
        <v>18.100000000000001</v>
      </c>
      <c r="I11" s="8">
        <v>7.7121519999999997E-4</v>
      </c>
      <c r="J11" s="8">
        <v>1.694823E-5</v>
      </c>
      <c r="K11" s="7">
        <f t="shared" si="1"/>
        <v>77.121520000000004</v>
      </c>
      <c r="L11" s="7">
        <f t="shared" si="1"/>
        <v>1.694823</v>
      </c>
    </row>
    <row r="12" spans="3:12" x14ac:dyDescent="0.25">
      <c r="C12" s="3">
        <v>3000</v>
      </c>
      <c r="D12" s="3">
        <v>60</v>
      </c>
      <c r="F12" s="5">
        <v>1.253196</v>
      </c>
      <c r="G12" s="8">
        <v>1.95E-4</v>
      </c>
      <c r="H12" s="7">
        <f t="shared" si="0"/>
        <v>19.5</v>
      </c>
      <c r="I12" s="8">
        <v>7.6062760000000004E-4</v>
      </c>
      <c r="J12" s="8">
        <v>1.7964189999999999E-5</v>
      </c>
      <c r="K12" s="7">
        <f t="shared" si="1"/>
        <v>76.062759999999997</v>
      </c>
      <c r="L12" s="7">
        <f t="shared" si="1"/>
        <v>1.796419</v>
      </c>
    </row>
    <row r="13" spans="3:12" x14ac:dyDescent="0.25">
      <c r="C13" s="3">
        <v>3500</v>
      </c>
      <c r="D13" s="3">
        <v>70</v>
      </c>
      <c r="F13" s="5">
        <v>1.260014</v>
      </c>
      <c r="G13" s="8">
        <v>1.7699999999999999E-4</v>
      </c>
      <c r="H13" s="7">
        <f t="shared" si="0"/>
        <v>17.7</v>
      </c>
      <c r="I13" s="8">
        <v>7.971047E-4</v>
      </c>
      <c r="J13" s="8">
        <v>1.9097809999999999E-5</v>
      </c>
      <c r="K13" s="7">
        <f t="shared" si="1"/>
        <v>79.710470000000001</v>
      </c>
      <c r="L13" s="7">
        <f t="shared" si="1"/>
        <v>1.909781</v>
      </c>
    </row>
    <row r="14" spans="3:12" x14ac:dyDescent="0.25">
      <c r="C14" s="3">
        <v>4000</v>
      </c>
      <c r="D14" s="3">
        <v>80</v>
      </c>
      <c r="F14" s="5">
        <v>1.266761</v>
      </c>
      <c r="G14" s="8">
        <v>1.8000000000000001E-4</v>
      </c>
      <c r="H14" s="7">
        <f t="shared" si="0"/>
        <v>18</v>
      </c>
      <c r="I14" s="8">
        <v>8.3063639999999997E-4</v>
      </c>
      <c r="J14" s="8">
        <v>1.768537E-5</v>
      </c>
      <c r="K14" s="7">
        <f t="shared" si="1"/>
        <v>83.063639999999992</v>
      </c>
      <c r="L14" s="7">
        <f t="shared" si="1"/>
        <v>1.768537</v>
      </c>
    </row>
    <row r="15" spans="3:12" x14ac:dyDescent="0.25">
      <c r="C15" s="3">
        <v>4500</v>
      </c>
      <c r="D15" s="3">
        <v>90</v>
      </c>
      <c r="F15" s="5">
        <v>1.2724569999999999</v>
      </c>
      <c r="G15" s="8">
        <v>1.7000000000000001E-4</v>
      </c>
      <c r="H15" s="7">
        <f t="shared" si="0"/>
        <v>17</v>
      </c>
      <c r="I15" s="8">
        <v>8.5314329999999999E-4</v>
      </c>
      <c r="J15" s="8">
        <v>1.7410340000000001E-5</v>
      </c>
      <c r="K15" s="7">
        <f t="shared" si="1"/>
        <v>85.314329999999998</v>
      </c>
      <c r="L15" s="7">
        <f t="shared" si="1"/>
        <v>1.7410340000000002</v>
      </c>
    </row>
    <row r="16" spans="3:12" x14ac:dyDescent="0.25">
      <c r="C16" s="3">
        <v>5000</v>
      </c>
      <c r="D16" s="3">
        <v>100</v>
      </c>
      <c r="F16" s="5">
        <v>1.277299</v>
      </c>
      <c r="G16" s="8">
        <v>1.7100000000000001E-4</v>
      </c>
      <c r="H16" s="7">
        <f t="shared" si="0"/>
        <v>17.100000000000001</v>
      </c>
      <c r="I16" s="8">
        <v>8.2685059999999995E-4</v>
      </c>
      <c r="J16" s="8">
        <v>1.841715E-5</v>
      </c>
      <c r="K16" s="7">
        <f t="shared" si="1"/>
        <v>82.685059999999993</v>
      </c>
      <c r="L16" s="7">
        <f t="shared" si="1"/>
        <v>1.841715</v>
      </c>
    </row>
    <row r="17" spans="3:14" x14ac:dyDescent="0.25">
      <c r="C17" s="3">
        <v>5500</v>
      </c>
      <c r="D17" s="3">
        <v>110</v>
      </c>
      <c r="F17" s="5">
        <v>1.2816590000000001</v>
      </c>
      <c r="G17" s="8">
        <v>1.7799999999999999E-4</v>
      </c>
      <c r="H17" s="7">
        <f t="shared" si="0"/>
        <v>17.8</v>
      </c>
      <c r="I17" s="8">
        <v>8.4634800000000002E-4</v>
      </c>
      <c r="J17" s="8">
        <v>1.7905610000000001E-5</v>
      </c>
      <c r="K17" s="7">
        <f t="shared" si="1"/>
        <v>84.634799999999998</v>
      </c>
      <c r="L17" s="7">
        <f t="shared" si="1"/>
        <v>1.7905610000000001</v>
      </c>
    </row>
    <row r="18" spans="3:14" x14ac:dyDescent="0.25">
      <c r="C18" s="3">
        <v>6000</v>
      </c>
      <c r="D18" s="3">
        <v>120</v>
      </c>
      <c r="F18" s="5">
        <v>1.2855840000000001</v>
      </c>
      <c r="G18" s="8">
        <v>1.8599999999999999E-4</v>
      </c>
      <c r="H18" s="7">
        <f t="shared" si="0"/>
        <v>18.599999999999998</v>
      </c>
      <c r="I18" s="8">
        <v>8.8878709999999997E-4</v>
      </c>
      <c r="J18" s="8">
        <v>2.0006480000000001E-5</v>
      </c>
      <c r="K18" s="7">
        <f t="shared" si="1"/>
        <v>88.878709999999998</v>
      </c>
      <c r="L18" s="7">
        <f t="shared" si="1"/>
        <v>2.000648</v>
      </c>
    </row>
    <row r="19" spans="3:14" x14ac:dyDescent="0.25">
      <c r="C19" s="3">
        <v>6500</v>
      </c>
      <c r="D19" s="3">
        <v>130</v>
      </c>
      <c r="F19" s="5"/>
      <c r="G19" s="8"/>
      <c r="H19" s="7">
        <f t="shared" si="0"/>
        <v>0</v>
      </c>
      <c r="I19" s="8"/>
      <c r="J19" s="8"/>
      <c r="K19" s="7">
        <f t="shared" si="1"/>
        <v>0</v>
      </c>
      <c r="L19" s="7">
        <f t="shared" si="1"/>
        <v>0</v>
      </c>
    </row>
    <row r="20" spans="3:14" x14ac:dyDescent="0.25">
      <c r="C20" s="3">
        <v>7000</v>
      </c>
      <c r="D20" s="3">
        <v>140</v>
      </c>
      <c r="F20" s="5"/>
      <c r="G20" s="8"/>
      <c r="H20" s="7">
        <f t="shared" si="0"/>
        <v>0</v>
      </c>
      <c r="I20" s="8"/>
      <c r="J20" s="8"/>
      <c r="K20" s="7">
        <f t="shared" si="1"/>
        <v>0</v>
      </c>
      <c r="L20" s="7">
        <f t="shared" si="1"/>
        <v>0</v>
      </c>
    </row>
    <row r="21" spans="3:14" x14ac:dyDescent="0.25">
      <c r="C21" s="3">
        <v>7500</v>
      </c>
      <c r="D21" s="3">
        <v>150</v>
      </c>
      <c r="F21" s="5"/>
      <c r="G21" s="8"/>
      <c r="H21" s="7">
        <f t="shared" si="0"/>
        <v>0</v>
      </c>
      <c r="I21" s="8"/>
      <c r="J21" s="8"/>
      <c r="K21" s="7">
        <f t="shared" si="1"/>
        <v>0</v>
      </c>
      <c r="L21" s="7">
        <f t="shared" si="1"/>
        <v>0</v>
      </c>
    </row>
    <row r="22" spans="3:14" x14ac:dyDescent="0.25">
      <c r="C22" s="3">
        <v>8000</v>
      </c>
      <c r="D22" s="3">
        <v>160</v>
      </c>
      <c r="F22" s="5"/>
      <c r="G22" s="8"/>
      <c r="H22" s="7">
        <f t="shared" si="0"/>
        <v>0</v>
      </c>
      <c r="I22" s="8"/>
      <c r="J22" s="8"/>
      <c r="K22" s="7">
        <f t="shared" si="1"/>
        <v>0</v>
      </c>
      <c r="L22" s="7">
        <f t="shared" si="1"/>
        <v>0</v>
      </c>
    </row>
    <row r="23" spans="3:14" x14ac:dyDescent="0.25">
      <c r="C23" s="3">
        <v>8500</v>
      </c>
      <c r="D23" s="3">
        <v>170</v>
      </c>
      <c r="F23" s="5"/>
      <c r="G23" s="8"/>
      <c r="H23" s="7">
        <f t="shared" si="0"/>
        <v>0</v>
      </c>
      <c r="I23" s="8"/>
      <c r="J23" s="8"/>
      <c r="K23" s="7">
        <f t="shared" si="1"/>
        <v>0</v>
      </c>
      <c r="L23" s="7">
        <f t="shared" si="1"/>
        <v>0</v>
      </c>
    </row>
    <row r="24" spans="3:14" x14ac:dyDescent="0.25">
      <c r="C24" s="3">
        <v>9000</v>
      </c>
      <c r="D24" s="3">
        <v>180</v>
      </c>
      <c r="F24" s="5"/>
      <c r="G24" s="8"/>
      <c r="H24" s="7">
        <f t="shared" si="0"/>
        <v>0</v>
      </c>
      <c r="I24" s="8"/>
      <c r="J24" s="8"/>
      <c r="K24" s="7">
        <f t="shared" si="1"/>
        <v>0</v>
      </c>
      <c r="L24" s="7">
        <f t="shared" si="1"/>
        <v>0</v>
      </c>
    </row>
    <row r="25" spans="3:14" x14ac:dyDescent="0.25">
      <c r="C25" s="3">
        <v>9500</v>
      </c>
      <c r="D25" s="3">
        <v>190</v>
      </c>
      <c r="F25" s="5"/>
      <c r="G25" s="8"/>
      <c r="H25" s="7">
        <f t="shared" si="0"/>
        <v>0</v>
      </c>
      <c r="I25" s="8"/>
      <c r="J25" s="8"/>
      <c r="K25" s="7">
        <f t="shared" si="1"/>
        <v>0</v>
      </c>
      <c r="L25" s="7">
        <f t="shared" si="1"/>
        <v>0</v>
      </c>
    </row>
    <row r="26" spans="3:14" ht="18.75" x14ac:dyDescent="0.3">
      <c r="C26" s="3">
        <v>10000</v>
      </c>
      <c r="D26" s="3">
        <v>200</v>
      </c>
      <c r="F26" s="5"/>
      <c r="G26" s="8"/>
      <c r="H26" s="7">
        <f t="shared" si="0"/>
        <v>0</v>
      </c>
      <c r="I26" s="8"/>
      <c r="J26" s="8"/>
      <c r="K26" s="7">
        <f t="shared" si="1"/>
        <v>0</v>
      </c>
      <c r="L26" s="7">
        <f t="shared" si="1"/>
        <v>0</v>
      </c>
      <c r="N26" s="15" t="s">
        <v>75</v>
      </c>
    </row>
    <row r="27" spans="3:14" ht="18.75" x14ac:dyDescent="0.3">
      <c r="C27" s="3">
        <v>10500</v>
      </c>
      <c r="D27" s="3">
        <v>210</v>
      </c>
      <c r="F27" s="5"/>
      <c r="G27" s="8"/>
      <c r="H27" s="7">
        <f t="shared" si="0"/>
        <v>0</v>
      </c>
      <c r="I27" s="8"/>
      <c r="J27" s="8"/>
      <c r="K27" s="7">
        <f t="shared" si="1"/>
        <v>0</v>
      </c>
      <c r="L27" s="7">
        <f t="shared" si="1"/>
        <v>0</v>
      </c>
      <c r="N27" s="14" t="s">
        <v>76</v>
      </c>
    </row>
    <row r="28" spans="3:14" ht="18.75" x14ac:dyDescent="0.3">
      <c r="C28" s="3">
        <v>11000</v>
      </c>
      <c r="D28" s="3">
        <v>220</v>
      </c>
      <c r="F28" s="5"/>
      <c r="G28" s="8"/>
      <c r="H28" s="7">
        <f t="shared" si="0"/>
        <v>0</v>
      </c>
      <c r="I28" s="8"/>
      <c r="J28" s="8"/>
      <c r="K28" s="7">
        <f t="shared" si="1"/>
        <v>0</v>
      </c>
      <c r="L28" s="7">
        <f t="shared" si="1"/>
        <v>0</v>
      </c>
      <c r="N28" s="19" t="s">
        <v>77</v>
      </c>
    </row>
    <row r="29" spans="3:14" x14ac:dyDescent="0.25">
      <c r="C29" s="3">
        <v>11500</v>
      </c>
      <c r="D29" s="3">
        <v>230</v>
      </c>
      <c r="F29" s="5"/>
      <c r="G29" s="8"/>
      <c r="H29" s="7">
        <f t="shared" si="0"/>
        <v>0</v>
      </c>
      <c r="I29" s="8"/>
      <c r="J29" s="8"/>
      <c r="K29" s="7">
        <f t="shared" si="1"/>
        <v>0</v>
      </c>
      <c r="L29" s="7">
        <f t="shared" si="1"/>
        <v>0</v>
      </c>
    </row>
    <row r="30" spans="3:14" x14ac:dyDescent="0.25">
      <c r="C30" s="3">
        <v>12000</v>
      </c>
      <c r="D30" s="3">
        <v>240</v>
      </c>
      <c r="F30" s="5"/>
      <c r="G30" s="8"/>
      <c r="H30" s="7">
        <f t="shared" si="0"/>
        <v>0</v>
      </c>
      <c r="I30" s="8"/>
      <c r="J30" s="8"/>
      <c r="K30" s="7">
        <f t="shared" si="1"/>
        <v>0</v>
      </c>
      <c r="L30" s="7">
        <f t="shared" si="1"/>
        <v>0</v>
      </c>
    </row>
    <row r="31" spans="3:14" x14ac:dyDescent="0.25">
      <c r="C31" s="3">
        <v>12500</v>
      </c>
      <c r="D31" s="3">
        <v>250</v>
      </c>
      <c r="F31" s="5"/>
      <c r="G31" s="8"/>
      <c r="H31" s="7">
        <f t="shared" si="0"/>
        <v>0</v>
      </c>
      <c r="I31" s="8"/>
      <c r="J31" s="8"/>
      <c r="K31" s="7">
        <f t="shared" si="1"/>
        <v>0</v>
      </c>
      <c r="L31" s="7">
        <f t="shared" si="1"/>
        <v>0</v>
      </c>
    </row>
    <row r="33" spans="3:12" x14ac:dyDescent="0.25">
      <c r="C33" s="24" t="s">
        <v>67</v>
      </c>
      <c r="D33" s="24"/>
      <c r="F33" s="24" t="s">
        <v>70</v>
      </c>
      <c r="G33" s="24"/>
      <c r="H33" s="24"/>
      <c r="I33" s="24"/>
      <c r="J33" s="24"/>
      <c r="K33" s="24"/>
      <c r="L33" s="24"/>
    </row>
    <row r="34" spans="3:12" x14ac:dyDescent="0.25">
      <c r="C34" s="3" t="s">
        <v>2</v>
      </c>
      <c r="D34" s="3" t="s">
        <v>69</v>
      </c>
      <c r="F34" s="3" t="s">
        <v>3</v>
      </c>
      <c r="G34" s="3" t="s">
        <v>4</v>
      </c>
      <c r="H34" s="3" t="s">
        <v>5</v>
      </c>
      <c r="I34" s="3" t="s">
        <v>6</v>
      </c>
      <c r="J34" s="3" t="s">
        <v>4</v>
      </c>
      <c r="K34" s="3" t="s">
        <v>7</v>
      </c>
      <c r="L34" s="3" t="s">
        <v>5</v>
      </c>
    </row>
    <row r="35" spans="3:12" x14ac:dyDescent="0.25">
      <c r="C35" s="3">
        <v>0</v>
      </c>
      <c r="D35" s="3">
        <v>0</v>
      </c>
      <c r="F35" s="5"/>
      <c r="G35" s="6"/>
      <c r="H35" s="7">
        <f>G35*100000*F35</f>
        <v>0</v>
      </c>
      <c r="I35" s="8"/>
      <c r="J35" s="6"/>
      <c r="K35" s="7">
        <f>I35*100000</f>
        <v>0</v>
      </c>
      <c r="L35" s="7">
        <f>I35*J35*100000</f>
        <v>0</v>
      </c>
    </row>
    <row r="36" spans="3:12" x14ac:dyDescent="0.25">
      <c r="C36" s="3">
        <v>250</v>
      </c>
      <c r="D36" s="3">
        <v>5</v>
      </c>
      <c r="F36" s="5"/>
      <c r="G36" s="6"/>
      <c r="H36" s="7">
        <f t="shared" ref="H36:H61" si="2">G36*100000*F36</f>
        <v>0</v>
      </c>
      <c r="I36" s="8"/>
      <c r="J36" s="6"/>
      <c r="K36" s="7">
        <f t="shared" ref="K36:K61" si="3">I36*100000</f>
        <v>0</v>
      </c>
      <c r="L36" s="7">
        <f t="shared" ref="L36:L61" si="4">I36*J36*100000</f>
        <v>0</v>
      </c>
    </row>
    <row r="37" spans="3:12" x14ac:dyDescent="0.25">
      <c r="C37" s="3">
        <v>500</v>
      </c>
      <c r="D37" s="3">
        <v>10</v>
      </c>
      <c r="F37" s="5"/>
      <c r="G37" s="6"/>
      <c r="H37" s="7">
        <f t="shared" si="2"/>
        <v>0</v>
      </c>
      <c r="I37" s="8"/>
      <c r="J37" s="6"/>
      <c r="K37" s="7">
        <f t="shared" si="3"/>
        <v>0</v>
      </c>
      <c r="L37" s="7">
        <f t="shared" si="4"/>
        <v>0</v>
      </c>
    </row>
    <row r="38" spans="3:12" x14ac:dyDescent="0.25">
      <c r="C38" s="3">
        <v>1000</v>
      </c>
      <c r="D38" s="3">
        <v>20</v>
      </c>
      <c r="F38" s="5"/>
      <c r="G38" s="6"/>
      <c r="H38" s="7">
        <f t="shared" si="2"/>
        <v>0</v>
      </c>
      <c r="I38" s="8"/>
      <c r="J38" s="6"/>
      <c r="K38" s="7">
        <f t="shared" si="3"/>
        <v>0</v>
      </c>
      <c r="L38" s="7">
        <f t="shared" si="4"/>
        <v>0</v>
      </c>
    </row>
    <row r="39" spans="3:12" x14ac:dyDescent="0.25">
      <c r="C39" s="3">
        <v>1500</v>
      </c>
      <c r="D39" s="3">
        <v>30</v>
      </c>
      <c r="F39" s="5"/>
      <c r="G39" s="6"/>
      <c r="H39" s="7">
        <f t="shared" si="2"/>
        <v>0</v>
      </c>
      <c r="I39" s="8"/>
      <c r="J39" s="6"/>
      <c r="K39" s="7">
        <f t="shared" si="3"/>
        <v>0</v>
      </c>
      <c r="L39" s="7">
        <f t="shared" si="4"/>
        <v>0</v>
      </c>
    </row>
    <row r="40" spans="3:12" x14ac:dyDescent="0.25">
      <c r="C40" s="3">
        <v>2000</v>
      </c>
      <c r="D40" s="3">
        <v>40</v>
      </c>
      <c r="F40" s="5"/>
      <c r="G40" s="6"/>
      <c r="H40" s="7">
        <f t="shared" si="2"/>
        <v>0</v>
      </c>
      <c r="I40" s="8"/>
      <c r="J40" s="6"/>
      <c r="K40" s="7">
        <f t="shared" si="3"/>
        <v>0</v>
      </c>
      <c r="L40" s="7">
        <f t="shared" si="4"/>
        <v>0</v>
      </c>
    </row>
    <row r="41" spans="3:12" x14ac:dyDescent="0.25">
      <c r="C41" s="3">
        <v>2500</v>
      </c>
      <c r="D41" s="3">
        <v>50</v>
      </c>
      <c r="F41" s="5"/>
      <c r="G41" s="6"/>
      <c r="H41" s="7">
        <f t="shared" si="2"/>
        <v>0</v>
      </c>
      <c r="I41" s="8"/>
      <c r="J41" s="6"/>
      <c r="K41" s="7">
        <f t="shared" si="3"/>
        <v>0</v>
      </c>
      <c r="L41" s="7">
        <f t="shared" si="4"/>
        <v>0</v>
      </c>
    </row>
    <row r="42" spans="3:12" x14ac:dyDescent="0.25">
      <c r="C42" s="3">
        <v>3000</v>
      </c>
      <c r="D42" s="3">
        <v>60</v>
      </c>
      <c r="F42" s="5"/>
      <c r="G42" s="6"/>
      <c r="H42" s="7">
        <f t="shared" si="2"/>
        <v>0</v>
      </c>
      <c r="I42" s="8"/>
      <c r="J42" s="6"/>
      <c r="K42" s="7">
        <f t="shared" si="3"/>
        <v>0</v>
      </c>
      <c r="L42" s="7">
        <f t="shared" si="4"/>
        <v>0</v>
      </c>
    </row>
    <row r="43" spans="3:12" x14ac:dyDescent="0.25">
      <c r="C43" s="3">
        <v>3500</v>
      </c>
      <c r="D43" s="3">
        <v>70</v>
      </c>
      <c r="F43" s="5"/>
      <c r="G43" s="6"/>
      <c r="H43" s="7">
        <f t="shared" si="2"/>
        <v>0</v>
      </c>
      <c r="I43" s="8"/>
      <c r="J43" s="6"/>
      <c r="K43" s="7">
        <f t="shared" si="3"/>
        <v>0</v>
      </c>
      <c r="L43" s="7">
        <f t="shared" si="4"/>
        <v>0</v>
      </c>
    </row>
    <row r="44" spans="3:12" x14ac:dyDescent="0.25">
      <c r="C44" s="3">
        <v>4000</v>
      </c>
      <c r="D44" s="3">
        <v>80</v>
      </c>
      <c r="F44" s="5"/>
      <c r="G44" s="6"/>
      <c r="H44" s="7">
        <f t="shared" si="2"/>
        <v>0</v>
      </c>
      <c r="I44" s="8"/>
      <c r="J44" s="6"/>
      <c r="K44" s="7">
        <f t="shared" si="3"/>
        <v>0</v>
      </c>
      <c r="L44" s="7">
        <f t="shared" si="4"/>
        <v>0</v>
      </c>
    </row>
    <row r="45" spans="3:12" x14ac:dyDescent="0.25">
      <c r="C45" s="3">
        <v>4500</v>
      </c>
      <c r="D45" s="3">
        <v>90</v>
      </c>
      <c r="F45" s="5"/>
      <c r="G45" s="6"/>
      <c r="H45" s="7">
        <f t="shared" si="2"/>
        <v>0</v>
      </c>
      <c r="I45" s="8"/>
      <c r="J45" s="6"/>
      <c r="K45" s="7">
        <f t="shared" si="3"/>
        <v>0</v>
      </c>
      <c r="L45" s="7">
        <f t="shared" si="4"/>
        <v>0</v>
      </c>
    </row>
    <row r="46" spans="3:12" x14ac:dyDescent="0.25">
      <c r="C46" s="3">
        <v>5000</v>
      </c>
      <c r="D46" s="3">
        <v>100</v>
      </c>
      <c r="F46" s="5"/>
      <c r="G46" s="6"/>
      <c r="H46" s="7">
        <f t="shared" si="2"/>
        <v>0</v>
      </c>
      <c r="I46" s="8"/>
      <c r="J46" s="6"/>
      <c r="K46" s="7">
        <f t="shared" si="3"/>
        <v>0</v>
      </c>
      <c r="L46" s="7">
        <f t="shared" si="4"/>
        <v>0</v>
      </c>
    </row>
    <row r="47" spans="3:12" x14ac:dyDescent="0.25">
      <c r="C47" s="3">
        <v>5500</v>
      </c>
      <c r="D47" s="3">
        <v>110</v>
      </c>
      <c r="F47" s="5"/>
      <c r="G47" s="6"/>
      <c r="H47" s="7">
        <f t="shared" si="2"/>
        <v>0</v>
      </c>
      <c r="I47" s="8"/>
      <c r="J47" s="6"/>
      <c r="K47" s="7">
        <f t="shared" si="3"/>
        <v>0</v>
      </c>
      <c r="L47" s="7">
        <f t="shared" si="4"/>
        <v>0</v>
      </c>
    </row>
    <row r="48" spans="3:12" x14ac:dyDescent="0.25">
      <c r="C48" s="3">
        <v>6000</v>
      </c>
      <c r="D48" s="3">
        <v>120</v>
      </c>
      <c r="F48" s="5"/>
      <c r="G48" s="6"/>
      <c r="H48" s="7">
        <f t="shared" si="2"/>
        <v>0</v>
      </c>
      <c r="I48" s="8"/>
      <c r="J48" s="6"/>
      <c r="K48" s="7">
        <f t="shared" si="3"/>
        <v>0</v>
      </c>
      <c r="L48" s="7">
        <f t="shared" si="4"/>
        <v>0</v>
      </c>
    </row>
    <row r="49" spans="3:12" x14ac:dyDescent="0.25">
      <c r="C49" s="3">
        <v>6500</v>
      </c>
      <c r="D49" s="3">
        <v>130</v>
      </c>
      <c r="F49" s="5"/>
      <c r="G49" s="6"/>
      <c r="H49" s="7">
        <f t="shared" si="2"/>
        <v>0</v>
      </c>
      <c r="I49" s="8"/>
      <c r="J49" s="6"/>
      <c r="K49" s="7">
        <f t="shared" si="3"/>
        <v>0</v>
      </c>
      <c r="L49" s="7">
        <f t="shared" si="4"/>
        <v>0</v>
      </c>
    </row>
    <row r="50" spans="3:12" x14ac:dyDescent="0.25">
      <c r="C50" s="3">
        <v>7000</v>
      </c>
      <c r="D50" s="3">
        <v>140</v>
      </c>
      <c r="F50" s="5"/>
      <c r="G50" s="6"/>
      <c r="H50" s="7">
        <f t="shared" si="2"/>
        <v>0</v>
      </c>
      <c r="I50" s="8"/>
      <c r="J50" s="6"/>
      <c r="K50" s="7">
        <f t="shared" si="3"/>
        <v>0</v>
      </c>
      <c r="L50" s="7">
        <f t="shared" si="4"/>
        <v>0</v>
      </c>
    </row>
    <row r="51" spans="3:12" x14ac:dyDescent="0.25">
      <c r="C51" s="3">
        <v>7500</v>
      </c>
      <c r="D51" s="3">
        <v>150</v>
      </c>
      <c r="F51" s="5"/>
      <c r="G51" s="6"/>
      <c r="H51" s="7">
        <f t="shared" si="2"/>
        <v>0</v>
      </c>
      <c r="I51" s="8"/>
      <c r="J51" s="6"/>
      <c r="K51" s="7">
        <f t="shared" si="3"/>
        <v>0</v>
      </c>
      <c r="L51" s="7">
        <f t="shared" si="4"/>
        <v>0</v>
      </c>
    </row>
    <row r="52" spans="3:12" x14ac:dyDescent="0.25">
      <c r="C52" s="3">
        <v>8000</v>
      </c>
      <c r="D52" s="3">
        <v>160</v>
      </c>
      <c r="F52" s="5"/>
      <c r="G52" s="6"/>
      <c r="H52" s="7">
        <f t="shared" si="2"/>
        <v>0</v>
      </c>
      <c r="I52" s="8"/>
      <c r="J52" s="6"/>
      <c r="K52" s="7">
        <f t="shared" si="3"/>
        <v>0</v>
      </c>
      <c r="L52" s="7">
        <f t="shared" si="4"/>
        <v>0</v>
      </c>
    </row>
    <row r="53" spans="3:12" x14ac:dyDescent="0.25">
      <c r="C53" s="3">
        <v>8500</v>
      </c>
      <c r="D53" s="3">
        <v>170</v>
      </c>
      <c r="F53" s="5"/>
      <c r="G53" s="6"/>
      <c r="H53" s="7">
        <f t="shared" si="2"/>
        <v>0</v>
      </c>
      <c r="I53" s="8"/>
      <c r="J53" s="6"/>
      <c r="K53" s="7">
        <f t="shared" si="3"/>
        <v>0</v>
      </c>
      <c r="L53" s="7">
        <f t="shared" si="4"/>
        <v>0</v>
      </c>
    </row>
    <row r="54" spans="3:12" x14ac:dyDescent="0.25">
      <c r="C54" s="3">
        <v>9000</v>
      </c>
      <c r="D54" s="3">
        <v>180</v>
      </c>
      <c r="F54" s="5"/>
      <c r="G54" s="6"/>
      <c r="H54" s="7">
        <f t="shared" si="2"/>
        <v>0</v>
      </c>
      <c r="I54" s="8"/>
      <c r="J54" s="6"/>
      <c r="K54" s="7">
        <f t="shared" si="3"/>
        <v>0</v>
      </c>
      <c r="L54" s="7">
        <f t="shared" si="4"/>
        <v>0</v>
      </c>
    </row>
    <row r="55" spans="3:12" x14ac:dyDescent="0.25">
      <c r="C55" s="3">
        <v>9500</v>
      </c>
      <c r="D55" s="3">
        <v>190</v>
      </c>
      <c r="F55" s="5"/>
      <c r="G55" s="6"/>
      <c r="H55" s="7">
        <f t="shared" si="2"/>
        <v>0</v>
      </c>
      <c r="I55" s="8"/>
      <c r="J55" s="6"/>
      <c r="K55" s="7">
        <f t="shared" si="3"/>
        <v>0</v>
      </c>
      <c r="L55" s="7">
        <f t="shared" si="4"/>
        <v>0</v>
      </c>
    </row>
    <row r="56" spans="3:12" x14ac:dyDescent="0.25">
      <c r="C56" s="3">
        <v>10000</v>
      </c>
      <c r="D56" s="3">
        <v>200</v>
      </c>
      <c r="F56" s="5"/>
      <c r="G56" s="6"/>
      <c r="H56" s="7">
        <f t="shared" si="2"/>
        <v>0</v>
      </c>
      <c r="I56" s="8"/>
      <c r="J56" s="6"/>
      <c r="K56" s="7">
        <f t="shared" si="3"/>
        <v>0</v>
      </c>
      <c r="L56" s="7">
        <f t="shared" si="4"/>
        <v>0</v>
      </c>
    </row>
    <row r="57" spans="3:12" x14ac:dyDescent="0.25">
      <c r="C57" s="3">
        <v>10500</v>
      </c>
      <c r="D57" s="3">
        <v>210</v>
      </c>
      <c r="F57" s="5"/>
      <c r="G57" s="6"/>
      <c r="H57" s="7">
        <f t="shared" si="2"/>
        <v>0</v>
      </c>
      <c r="I57" s="8"/>
      <c r="J57" s="6"/>
      <c r="K57" s="7">
        <f t="shared" si="3"/>
        <v>0</v>
      </c>
      <c r="L57" s="7">
        <f t="shared" si="4"/>
        <v>0</v>
      </c>
    </row>
    <row r="58" spans="3:12" x14ac:dyDescent="0.25">
      <c r="C58" s="3">
        <v>11000</v>
      </c>
      <c r="D58" s="3">
        <v>220</v>
      </c>
      <c r="F58" s="5"/>
      <c r="G58" s="6"/>
      <c r="H58" s="7">
        <f t="shared" si="2"/>
        <v>0</v>
      </c>
      <c r="I58" s="8"/>
      <c r="J58" s="6"/>
      <c r="K58" s="7">
        <f t="shared" si="3"/>
        <v>0</v>
      </c>
      <c r="L58" s="7">
        <f t="shared" si="4"/>
        <v>0</v>
      </c>
    </row>
    <row r="59" spans="3:12" x14ac:dyDescent="0.25">
      <c r="C59" s="3">
        <v>11500</v>
      </c>
      <c r="D59" s="3">
        <v>230</v>
      </c>
      <c r="F59" s="5"/>
      <c r="G59" s="6"/>
      <c r="H59" s="7">
        <f t="shared" si="2"/>
        <v>0</v>
      </c>
      <c r="I59" s="8"/>
      <c r="J59" s="6"/>
      <c r="K59" s="7">
        <f t="shared" si="3"/>
        <v>0</v>
      </c>
      <c r="L59" s="7">
        <f t="shared" si="4"/>
        <v>0</v>
      </c>
    </row>
    <row r="60" spans="3:12" x14ac:dyDescent="0.25">
      <c r="C60" s="3">
        <v>12000</v>
      </c>
      <c r="D60" s="3">
        <v>240</v>
      </c>
      <c r="F60" s="5"/>
      <c r="G60" s="6"/>
      <c r="H60" s="7">
        <f t="shared" si="2"/>
        <v>0</v>
      </c>
      <c r="I60" s="8"/>
      <c r="J60" s="6"/>
      <c r="K60" s="7">
        <f t="shared" si="3"/>
        <v>0</v>
      </c>
      <c r="L60" s="7">
        <f t="shared" si="4"/>
        <v>0</v>
      </c>
    </row>
    <row r="61" spans="3:12" x14ac:dyDescent="0.25">
      <c r="C61" s="3">
        <v>12500</v>
      </c>
      <c r="D61" s="3">
        <v>250</v>
      </c>
      <c r="F61" s="5"/>
      <c r="G61" s="6"/>
      <c r="H61" s="7">
        <f t="shared" si="2"/>
        <v>0</v>
      </c>
      <c r="I61" s="8"/>
      <c r="J61" s="6"/>
      <c r="K61" s="7">
        <f t="shared" si="3"/>
        <v>0</v>
      </c>
      <c r="L61" s="7">
        <f t="shared" si="4"/>
        <v>0</v>
      </c>
    </row>
    <row r="63" spans="3:12" x14ac:dyDescent="0.25">
      <c r="C63" s="24" t="s">
        <v>67</v>
      </c>
      <c r="D63" s="24"/>
      <c r="F63" s="24" t="s">
        <v>1</v>
      </c>
      <c r="G63" s="24"/>
      <c r="H63" s="24"/>
      <c r="I63" s="24"/>
      <c r="J63" s="24"/>
      <c r="K63" s="24"/>
      <c r="L63" s="24"/>
    </row>
    <row r="64" spans="3:12" x14ac:dyDescent="0.25">
      <c r="C64" s="3" t="s">
        <v>2</v>
      </c>
      <c r="D64" s="3" t="s">
        <v>69</v>
      </c>
      <c r="F64" s="3" t="s">
        <v>3</v>
      </c>
      <c r="G64" s="3" t="s">
        <v>4</v>
      </c>
      <c r="H64" s="3" t="s">
        <v>5</v>
      </c>
      <c r="I64" s="3" t="s">
        <v>6</v>
      </c>
      <c r="J64" s="3" t="s">
        <v>4</v>
      </c>
      <c r="K64" s="3" t="s">
        <v>7</v>
      </c>
      <c r="L64" s="3" t="s">
        <v>5</v>
      </c>
    </row>
    <row r="65" spans="3:12" x14ac:dyDescent="0.25">
      <c r="C65" s="3">
        <v>0</v>
      </c>
      <c r="D65" s="3">
        <v>0</v>
      </c>
      <c r="F65" s="5">
        <v>1.1900299999999999</v>
      </c>
      <c r="G65" s="6">
        <v>1.7000000000000001E-4</v>
      </c>
      <c r="H65" s="7">
        <f>G65*100000*F65</f>
        <v>20.230509999999999</v>
      </c>
      <c r="I65" s="8"/>
      <c r="J65" s="6"/>
      <c r="K65" s="7">
        <f>I65*100000</f>
        <v>0</v>
      </c>
      <c r="L65" s="7">
        <f>I65*J65*100000</f>
        <v>0</v>
      </c>
    </row>
    <row r="66" spans="3:12" x14ac:dyDescent="0.25">
      <c r="C66" s="3">
        <v>250</v>
      </c>
      <c r="D66" s="3">
        <v>5</v>
      </c>
      <c r="F66" s="5">
        <v>1.1967000000000001</v>
      </c>
      <c r="G66" s="6">
        <v>1.7000000000000001E-4</v>
      </c>
      <c r="H66" s="7">
        <f t="shared" ref="H66:H91" si="5">G66*100000*F66</f>
        <v>20.343900000000001</v>
      </c>
      <c r="I66" s="8"/>
      <c r="J66" s="6"/>
      <c r="K66" s="7">
        <f t="shared" ref="K66:K91" si="6">I66*100000</f>
        <v>0</v>
      </c>
      <c r="L66" s="7">
        <f t="shared" ref="L66:L91" si="7">I66*J66*100000</f>
        <v>0</v>
      </c>
    </row>
    <row r="67" spans="3:12" x14ac:dyDescent="0.25">
      <c r="C67" s="3">
        <v>500</v>
      </c>
      <c r="D67" s="3">
        <v>10</v>
      </c>
      <c r="F67" s="5">
        <v>1.20258</v>
      </c>
      <c r="G67" s="6">
        <v>1.6000000000000001E-4</v>
      </c>
      <c r="H67" s="7">
        <f t="shared" si="5"/>
        <v>19.24128</v>
      </c>
      <c r="I67" s="8"/>
      <c r="J67" s="6"/>
      <c r="K67" s="7">
        <f t="shared" si="6"/>
        <v>0</v>
      </c>
      <c r="L67" s="7">
        <f t="shared" si="7"/>
        <v>0</v>
      </c>
    </row>
    <row r="68" spans="3:12" x14ac:dyDescent="0.25">
      <c r="C68" s="3">
        <v>1000</v>
      </c>
      <c r="D68" s="3">
        <v>20</v>
      </c>
      <c r="F68" s="5">
        <v>1.2132700000000001</v>
      </c>
      <c r="G68" s="6">
        <v>1.6000000000000001E-4</v>
      </c>
      <c r="H68" s="7">
        <f t="shared" si="5"/>
        <v>19.412320000000001</v>
      </c>
      <c r="I68" s="8"/>
      <c r="J68" s="6"/>
      <c r="K68" s="7">
        <f t="shared" si="6"/>
        <v>0</v>
      </c>
      <c r="L68" s="7">
        <f t="shared" si="7"/>
        <v>0</v>
      </c>
    </row>
    <row r="69" spans="3:12" x14ac:dyDescent="0.25">
      <c r="C69" s="3">
        <v>1500</v>
      </c>
      <c r="D69" s="3">
        <v>30</v>
      </c>
      <c r="F69" s="5">
        <v>1.22275</v>
      </c>
      <c r="G69" s="6">
        <v>1.6000000000000001E-4</v>
      </c>
      <c r="H69" s="7">
        <f t="shared" si="5"/>
        <v>19.564</v>
      </c>
      <c r="I69" s="8"/>
      <c r="J69" s="6"/>
      <c r="K69" s="7">
        <f t="shared" si="6"/>
        <v>0</v>
      </c>
      <c r="L69" s="7">
        <f t="shared" si="7"/>
        <v>0</v>
      </c>
    </row>
    <row r="70" spans="3:12" x14ac:dyDescent="0.25">
      <c r="C70" s="3">
        <v>2000</v>
      </c>
      <c r="D70" s="3">
        <v>40</v>
      </c>
      <c r="F70" s="5">
        <v>1.23125</v>
      </c>
      <c r="G70" s="6">
        <v>1.4999999999999999E-4</v>
      </c>
      <c r="H70" s="7">
        <f t="shared" si="5"/>
        <v>18.468749999999996</v>
      </c>
      <c r="I70" s="8"/>
      <c r="J70" s="6"/>
      <c r="K70" s="7">
        <f t="shared" si="6"/>
        <v>0</v>
      </c>
      <c r="L70" s="7">
        <f t="shared" si="7"/>
        <v>0</v>
      </c>
    </row>
    <row r="71" spans="3:12" x14ac:dyDescent="0.25">
      <c r="C71" s="3">
        <v>2500</v>
      </c>
      <c r="D71" s="3">
        <v>50</v>
      </c>
      <c r="F71" s="5">
        <v>1.23905</v>
      </c>
      <c r="G71" s="6">
        <v>1.4999999999999999E-4</v>
      </c>
      <c r="H71" s="7">
        <f t="shared" si="5"/>
        <v>18.585749999999997</v>
      </c>
      <c r="I71" s="8"/>
      <c r="J71" s="6"/>
      <c r="K71" s="7">
        <f t="shared" si="6"/>
        <v>0</v>
      </c>
      <c r="L71" s="7">
        <f t="shared" si="7"/>
        <v>0</v>
      </c>
    </row>
    <row r="72" spans="3:12" x14ac:dyDescent="0.25">
      <c r="C72" s="3">
        <v>3000</v>
      </c>
      <c r="D72" s="3">
        <v>60</v>
      </c>
      <c r="F72" s="5">
        <v>1.24604</v>
      </c>
      <c r="G72" s="6">
        <v>1.4999999999999999E-4</v>
      </c>
      <c r="H72" s="7">
        <f t="shared" si="5"/>
        <v>18.6906</v>
      </c>
      <c r="I72" s="8"/>
      <c r="J72" s="6"/>
      <c r="K72" s="7">
        <f t="shared" si="6"/>
        <v>0</v>
      </c>
      <c r="L72" s="7">
        <f t="shared" si="7"/>
        <v>0</v>
      </c>
    </row>
    <row r="73" spans="3:12" x14ac:dyDescent="0.25">
      <c r="C73" s="3">
        <v>3500</v>
      </c>
      <c r="D73" s="3">
        <v>70</v>
      </c>
      <c r="F73" s="5">
        <v>1.25231</v>
      </c>
      <c r="G73" s="6">
        <v>1.4999999999999999E-4</v>
      </c>
      <c r="H73" s="7">
        <f t="shared" si="5"/>
        <v>18.784649999999999</v>
      </c>
      <c r="I73" s="8"/>
      <c r="J73" s="6"/>
      <c r="K73" s="7">
        <f t="shared" si="6"/>
        <v>0</v>
      </c>
      <c r="L73" s="7">
        <f t="shared" si="7"/>
        <v>0</v>
      </c>
    </row>
    <row r="74" spans="3:12" x14ac:dyDescent="0.25">
      <c r="C74" s="3">
        <v>4000</v>
      </c>
      <c r="D74" s="3">
        <v>80</v>
      </c>
      <c r="F74" s="5">
        <v>1.2577499999999999</v>
      </c>
      <c r="G74" s="6">
        <v>1.4999999999999999E-4</v>
      </c>
      <c r="H74" s="7">
        <f t="shared" si="5"/>
        <v>18.866249999999997</v>
      </c>
      <c r="I74" s="8"/>
      <c r="J74" s="6"/>
      <c r="K74" s="7">
        <f t="shared" si="6"/>
        <v>0</v>
      </c>
      <c r="L74" s="7">
        <f t="shared" si="7"/>
        <v>0</v>
      </c>
    </row>
    <row r="75" spans="3:12" x14ac:dyDescent="0.25">
      <c r="C75" s="3">
        <v>4500</v>
      </c>
      <c r="D75" s="3">
        <v>90</v>
      </c>
      <c r="F75" s="5">
        <v>1.2629600000000001</v>
      </c>
      <c r="G75" s="6">
        <v>1.3999999999999999E-4</v>
      </c>
      <c r="H75" s="7">
        <f t="shared" si="5"/>
        <v>17.681439999999998</v>
      </c>
      <c r="I75" s="8"/>
      <c r="J75" s="6"/>
      <c r="K75" s="7">
        <f t="shared" si="6"/>
        <v>0</v>
      </c>
      <c r="L75" s="7">
        <f t="shared" si="7"/>
        <v>0</v>
      </c>
    </row>
    <row r="76" spans="3:12" x14ac:dyDescent="0.25">
      <c r="C76" s="3">
        <v>5000</v>
      </c>
      <c r="D76" s="3">
        <v>100</v>
      </c>
      <c r="F76" s="5">
        <v>1.2674099999999999</v>
      </c>
      <c r="G76" s="6">
        <v>1.3999999999999999E-4</v>
      </c>
      <c r="H76" s="7">
        <f t="shared" si="5"/>
        <v>17.743739999999995</v>
      </c>
      <c r="I76" s="8"/>
      <c r="J76" s="6"/>
      <c r="K76" s="7">
        <f t="shared" si="6"/>
        <v>0</v>
      </c>
      <c r="L76" s="7">
        <f t="shared" si="7"/>
        <v>0</v>
      </c>
    </row>
    <row r="77" spans="3:12" x14ac:dyDescent="0.25">
      <c r="C77" s="3">
        <v>5500</v>
      </c>
      <c r="D77" s="3">
        <v>110</v>
      </c>
      <c r="F77" s="5">
        <v>1.2709600000000001</v>
      </c>
      <c r="G77" s="6">
        <v>1.3999999999999999E-4</v>
      </c>
      <c r="H77" s="7">
        <f t="shared" si="5"/>
        <v>17.79344</v>
      </c>
      <c r="I77" s="8"/>
      <c r="J77" s="6"/>
      <c r="K77" s="7">
        <f t="shared" si="6"/>
        <v>0</v>
      </c>
      <c r="L77" s="7">
        <f t="shared" si="7"/>
        <v>0</v>
      </c>
    </row>
    <row r="78" spans="3:12" x14ac:dyDescent="0.25">
      <c r="C78" s="3">
        <v>6000</v>
      </c>
      <c r="D78" s="3">
        <v>120</v>
      </c>
      <c r="F78" s="5">
        <v>1.27441</v>
      </c>
      <c r="G78" s="6">
        <v>1.3999999999999999E-4</v>
      </c>
      <c r="H78" s="7">
        <f t="shared" si="5"/>
        <v>17.841739999999998</v>
      </c>
      <c r="I78" s="8"/>
      <c r="J78" s="6"/>
      <c r="K78" s="7">
        <f t="shared" si="6"/>
        <v>0</v>
      </c>
      <c r="L78" s="7">
        <f t="shared" si="7"/>
        <v>0</v>
      </c>
    </row>
    <row r="79" spans="3:12" x14ac:dyDescent="0.25">
      <c r="C79" s="3">
        <v>6500</v>
      </c>
      <c r="D79" s="3">
        <v>130</v>
      </c>
      <c r="F79" s="5">
        <v>1.2775799999999999</v>
      </c>
      <c r="G79" s="6">
        <v>1.3999999999999999E-4</v>
      </c>
      <c r="H79" s="7">
        <f t="shared" si="5"/>
        <v>17.886119999999998</v>
      </c>
      <c r="I79" s="8"/>
      <c r="J79" s="6"/>
      <c r="K79" s="7">
        <f t="shared" si="6"/>
        <v>0</v>
      </c>
      <c r="L79" s="7">
        <f t="shared" si="7"/>
        <v>0</v>
      </c>
    </row>
    <row r="80" spans="3:12" x14ac:dyDescent="0.25">
      <c r="C80" s="3">
        <v>7000</v>
      </c>
      <c r="D80" s="3">
        <v>140</v>
      </c>
      <c r="F80" s="5">
        <v>1.2800499999999999</v>
      </c>
      <c r="G80" s="6">
        <v>1.2999999999999999E-4</v>
      </c>
      <c r="H80" s="7">
        <f t="shared" si="5"/>
        <v>16.640649999999997</v>
      </c>
      <c r="I80" s="8"/>
      <c r="J80" s="6"/>
      <c r="K80" s="7">
        <f t="shared" si="6"/>
        <v>0</v>
      </c>
      <c r="L80" s="7">
        <f t="shared" si="7"/>
        <v>0</v>
      </c>
    </row>
    <row r="81" spans="3:12" x14ac:dyDescent="0.25">
      <c r="C81" s="3">
        <v>7500</v>
      </c>
      <c r="D81" s="3">
        <v>150</v>
      </c>
      <c r="F81" s="5">
        <v>1.28199</v>
      </c>
      <c r="G81" s="6">
        <v>1.2999999999999999E-4</v>
      </c>
      <c r="H81" s="7">
        <f t="shared" si="5"/>
        <v>16.665869999999998</v>
      </c>
      <c r="I81" s="8"/>
      <c r="J81" s="6"/>
      <c r="K81" s="7">
        <f t="shared" si="6"/>
        <v>0</v>
      </c>
      <c r="L81" s="7">
        <f t="shared" si="7"/>
        <v>0</v>
      </c>
    </row>
    <row r="82" spans="3:12" x14ac:dyDescent="0.25">
      <c r="C82" s="3">
        <v>8000</v>
      </c>
      <c r="D82" s="3">
        <v>160</v>
      </c>
      <c r="F82" s="5">
        <v>1.2835700000000001</v>
      </c>
      <c r="G82" s="6">
        <v>1.2999999999999999E-4</v>
      </c>
      <c r="H82" s="7">
        <f t="shared" si="5"/>
        <v>16.686409999999999</v>
      </c>
      <c r="I82" s="8"/>
      <c r="J82" s="6"/>
      <c r="K82" s="7">
        <f t="shared" si="6"/>
        <v>0</v>
      </c>
      <c r="L82" s="7">
        <f t="shared" si="7"/>
        <v>0</v>
      </c>
    </row>
    <row r="83" spans="3:12" x14ac:dyDescent="0.25">
      <c r="C83" s="3">
        <v>8500</v>
      </c>
      <c r="D83" s="3">
        <v>170</v>
      </c>
      <c r="F83" s="5">
        <v>1.28471</v>
      </c>
      <c r="G83" s="6">
        <v>1.2999999999999999E-4</v>
      </c>
      <c r="H83" s="7">
        <f t="shared" si="5"/>
        <v>16.701229999999999</v>
      </c>
      <c r="I83" s="8"/>
      <c r="J83" s="6"/>
      <c r="K83" s="7">
        <f t="shared" si="6"/>
        <v>0</v>
      </c>
      <c r="L83" s="7">
        <f t="shared" si="7"/>
        <v>0</v>
      </c>
    </row>
    <row r="84" spans="3:12" x14ac:dyDescent="0.25">
      <c r="C84" s="3">
        <v>9000</v>
      </c>
      <c r="D84" s="3">
        <v>180</v>
      </c>
      <c r="F84" s="5">
        <v>1.2855700000000001</v>
      </c>
      <c r="G84" s="6">
        <v>1.2999999999999999E-4</v>
      </c>
      <c r="H84" s="7">
        <f t="shared" si="5"/>
        <v>16.712409999999998</v>
      </c>
      <c r="I84" s="8"/>
      <c r="J84" s="6"/>
      <c r="K84" s="7">
        <f t="shared" si="6"/>
        <v>0</v>
      </c>
      <c r="L84" s="7">
        <f t="shared" si="7"/>
        <v>0</v>
      </c>
    </row>
    <row r="85" spans="3:12" x14ac:dyDescent="0.25">
      <c r="C85" s="3">
        <v>9500</v>
      </c>
      <c r="D85" s="3">
        <v>190</v>
      </c>
      <c r="F85" s="5">
        <v>1.2859400000000001</v>
      </c>
      <c r="G85" s="6">
        <v>1.2999999999999999E-4</v>
      </c>
      <c r="H85" s="7">
        <f t="shared" si="5"/>
        <v>16.717219999999998</v>
      </c>
      <c r="I85" s="8"/>
      <c r="J85" s="6"/>
      <c r="K85" s="7">
        <f t="shared" si="6"/>
        <v>0</v>
      </c>
      <c r="L85" s="7">
        <f t="shared" si="7"/>
        <v>0</v>
      </c>
    </row>
    <row r="86" spans="3:12" x14ac:dyDescent="0.25">
      <c r="C86" s="3">
        <v>10000</v>
      </c>
      <c r="D86" s="3">
        <v>200</v>
      </c>
      <c r="F86" s="5">
        <v>1.28626</v>
      </c>
      <c r="G86" s="6">
        <v>1.2999999999999999E-4</v>
      </c>
      <c r="H86" s="7">
        <f t="shared" si="5"/>
        <v>16.721379999999996</v>
      </c>
      <c r="I86" s="8"/>
      <c r="J86" s="6"/>
      <c r="K86" s="7">
        <f t="shared" si="6"/>
        <v>0</v>
      </c>
      <c r="L86" s="7">
        <f t="shared" si="7"/>
        <v>0</v>
      </c>
    </row>
    <row r="87" spans="3:12" x14ac:dyDescent="0.25">
      <c r="C87" s="3">
        <v>10500</v>
      </c>
      <c r="D87" s="3">
        <v>210</v>
      </c>
      <c r="F87" s="5">
        <v>1.28609</v>
      </c>
      <c r="G87" s="6">
        <v>1.2E-4</v>
      </c>
      <c r="H87" s="7">
        <f t="shared" si="5"/>
        <v>15.43308</v>
      </c>
      <c r="I87" s="8"/>
      <c r="J87" s="6"/>
      <c r="K87" s="7">
        <f t="shared" si="6"/>
        <v>0</v>
      </c>
      <c r="L87" s="7">
        <f t="shared" si="7"/>
        <v>0</v>
      </c>
    </row>
    <row r="88" spans="3:12" x14ac:dyDescent="0.25">
      <c r="C88" s="3">
        <v>11000</v>
      </c>
      <c r="D88" s="3">
        <v>220</v>
      </c>
      <c r="F88" s="5">
        <v>1.286</v>
      </c>
      <c r="G88" s="6">
        <v>1.2E-4</v>
      </c>
      <c r="H88" s="7">
        <f t="shared" si="5"/>
        <v>15.432</v>
      </c>
      <c r="I88" s="8"/>
      <c r="J88" s="6"/>
      <c r="K88" s="7">
        <f t="shared" si="6"/>
        <v>0</v>
      </c>
      <c r="L88" s="7">
        <f t="shared" si="7"/>
        <v>0</v>
      </c>
    </row>
    <row r="89" spans="3:12" x14ac:dyDescent="0.25">
      <c r="C89" s="3">
        <v>11500</v>
      </c>
      <c r="D89" s="3">
        <v>230</v>
      </c>
      <c r="F89" s="5">
        <v>1.2848200000000001</v>
      </c>
      <c r="G89" s="6">
        <v>1.2E-4</v>
      </c>
      <c r="H89" s="7">
        <f t="shared" si="5"/>
        <v>15.417840000000002</v>
      </c>
      <c r="I89" s="8"/>
      <c r="J89" s="6"/>
      <c r="K89" s="7">
        <f t="shared" si="6"/>
        <v>0</v>
      </c>
      <c r="L89" s="7">
        <f t="shared" si="7"/>
        <v>0</v>
      </c>
    </row>
    <row r="90" spans="3:12" x14ac:dyDescent="0.25">
      <c r="C90" s="3">
        <v>12000</v>
      </c>
      <c r="D90" s="3">
        <v>240</v>
      </c>
      <c r="F90" s="5">
        <v>1.2837000000000001</v>
      </c>
      <c r="G90" s="6">
        <v>1.2E-4</v>
      </c>
      <c r="H90" s="7">
        <f t="shared" si="5"/>
        <v>15.404400000000001</v>
      </c>
      <c r="I90" s="8"/>
      <c r="J90" s="6"/>
      <c r="K90" s="7">
        <f t="shared" si="6"/>
        <v>0</v>
      </c>
      <c r="L90" s="7">
        <f t="shared" si="7"/>
        <v>0</v>
      </c>
    </row>
    <row r="91" spans="3:12" x14ac:dyDescent="0.25">
      <c r="C91" s="3">
        <v>12500</v>
      </c>
      <c r="D91" s="3">
        <v>250</v>
      </c>
      <c r="F91" s="5">
        <v>1.28233</v>
      </c>
      <c r="G91" s="6">
        <v>1.2E-4</v>
      </c>
      <c r="H91" s="7">
        <f t="shared" si="5"/>
        <v>15.38796</v>
      </c>
      <c r="I91" s="8"/>
      <c r="J91" s="6"/>
      <c r="K91" s="7">
        <f t="shared" si="6"/>
        <v>0</v>
      </c>
      <c r="L91" s="7">
        <f t="shared" si="7"/>
        <v>0</v>
      </c>
    </row>
    <row r="93" spans="3:12" x14ac:dyDescent="0.25">
      <c r="C93" s="24" t="s">
        <v>67</v>
      </c>
      <c r="D93" s="24"/>
      <c r="F93" s="24" t="s">
        <v>8</v>
      </c>
      <c r="G93" s="24"/>
      <c r="H93" s="24"/>
      <c r="I93" s="24"/>
      <c r="J93" s="24"/>
      <c r="K93" s="24"/>
      <c r="L93" s="24"/>
    </row>
    <row r="94" spans="3:12" x14ac:dyDescent="0.25">
      <c r="C94" s="3" t="s">
        <v>2</v>
      </c>
      <c r="D94" s="3" t="s">
        <v>69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4</v>
      </c>
      <c r="K94" s="3" t="s">
        <v>7</v>
      </c>
      <c r="L94" s="3" t="s">
        <v>5</v>
      </c>
    </row>
    <row r="95" spans="3:12" x14ac:dyDescent="0.25">
      <c r="C95" s="3">
        <v>0</v>
      </c>
      <c r="D95" s="3">
        <v>0</v>
      </c>
      <c r="F95" s="5">
        <v>1.18998</v>
      </c>
      <c r="G95" s="6">
        <v>1.6000000000000001E-4</v>
      </c>
      <c r="H95" s="7">
        <f>G95*100000*F95</f>
        <v>19.039680000000001</v>
      </c>
      <c r="I95" s="8"/>
      <c r="J95" s="6"/>
      <c r="K95" s="7">
        <f>I95*100000</f>
        <v>0</v>
      </c>
      <c r="L95" s="7">
        <f>I95*J95*100000</f>
        <v>0</v>
      </c>
    </row>
    <row r="96" spans="3:12" x14ac:dyDescent="0.25">
      <c r="C96" s="3">
        <v>250</v>
      </c>
      <c r="D96" s="3">
        <v>5</v>
      </c>
      <c r="F96" s="5">
        <v>1.1971499999999999</v>
      </c>
      <c r="G96" s="6">
        <v>1.6000000000000001E-4</v>
      </c>
      <c r="H96" s="7">
        <f t="shared" ref="H96:H121" si="8">G96*100000*F96</f>
        <v>19.154399999999999</v>
      </c>
      <c r="I96" s="8"/>
      <c r="J96" s="6"/>
      <c r="K96" s="7">
        <f t="shared" ref="K96:K121" si="9">I96*100000</f>
        <v>0</v>
      </c>
      <c r="L96" s="7">
        <f t="shared" ref="L96:L121" si="10">I96*J96*100000</f>
        <v>0</v>
      </c>
    </row>
    <row r="97" spans="3:12" x14ac:dyDescent="0.25">
      <c r="C97" s="3">
        <v>500</v>
      </c>
      <c r="D97" s="3">
        <v>10</v>
      </c>
      <c r="F97" s="5">
        <v>1.20272</v>
      </c>
      <c r="G97" s="6">
        <v>1.6000000000000001E-4</v>
      </c>
      <c r="H97" s="7">
        <f t="shared" si="8"/>
        <v>19.24352</v>
      </c>
      <c r="I97" s="8"/>
      <c r="J97" s="6"/>
      <c r="K97" s="7">
        <f t="shared" si="9"/>
        <v>0</v>
      </c>
      <c r="L97" s="7">
        <f t="shared" si="10"/>
        <v>0</v>
      </c>
    </row>
    <row r="98" spans="3:12" x14ac:dyDescent="0.25">
      <c r="C98" s="3">
        <v>1000</v>
      </c>
      <c r="D98" s="3">
        <v>20</v>
      </c>
      <c r="F98" s="5">
        <v>1.21333</v>
      </c>
      <c r="G98" s="6">
        <v>1.6000000000000001E-4</v>
      </c>
      <c r="H98" s="7">
        <f t="shared" si="8"/>
        <v>19.41328</v>
      </c>
      <c r="I98" s="8"/>
      <c r="J98" s="6"/>
      <c r="K98" s="7">
        <f t="shared" si="9"/>
        <v>0</v>
      </c>
      <c r="L98" s="7">
        <f t="shared" si="10"/>
        <v>0</v>
      </c>
    </row>
    <row r="99" spans="3:12" x14ac:dyDescent="0.25">
      <c r="C99" s="3">
        <v>1500</v>
      </c>
      <c r="D99" s="3">
        <v>30</v>
      </c>
      <c r="F99" s="5">
        <v>1.22258</v>
      </c>
      <c r="G99" s="6">
        <v>1.4999999999999999E-4</v>
      </c>
      <c r="H99" s="7">
        <f t="shared" si="8"/>
        <v>18.338699999999999</v>
      </c>
      <c r="I99" s="8"/>
      <c r="J99" s="6"/>
      <c r="K99" s="7">
        <f t="shared" si="9"/>
        <v>0</v>
      </c>
      <c r="L99" s="7">
        <f t="shared" si="10"/>
        <v>0</v>
      </c>
    </row>
    <row r="100" spans="3:12" x14ac:dyDescent="0.25">
      <c r="C100" s="3">
        <v>2000</v>
      </c>
      <c r="D100" s="3">
        <v>40</v>
      </c>
      <c r="F100" s="5">
        <v>1.2314700000000001</v>
      </c>
      <c r="G100" s="6">
        <v>1.4999999999999999E-4</v>
      </c>
      <c r="H100" s="7">
        <f t="shared" si="8"/>
        <v>18.472049999999999</v>
      </c>
      <c r="I100" s="8"/>
      <c r="J100" s="6"/>
      <c r="K100" s="7">
        <f t="shared" si="9"/>
        <v>0</v>
      </c>
      <c r="L100" s="7">
        <f t="shared" si="10"/>
        <v>0</v>
      </c>
    </row>
    <row r="101" spans="3:12" x14ac:dyDescent="0.25">
      <c r="C101" s="3">
        <v>2500</v>
      </c>
      <c r="D101" s="3">
        <v>50</v>
      </c>
      <c r="F101" s="5">
        <v>1.23895</v>
      </c>
      <c r="G101" s="6">
        <v>1.4999999999999999E-4</v>
      </c>
      <c r="H101" s="7">
        <f t="shared" si="8"/>
        <v>18.584249999999997</v>
      </c>
      <c r="I101" s="8"/>
      <c r="J101" s="6"/>
      <c r="K101" s="7">
        <f t="shared" si="9"/>
        <v>0</v>
      </c>
      <c r="L101" s="7">
        <f t="shared" si="10"/>
        <v>0</v>
      </c>
    </row>
    <row r="102" spans="3:12" x14ac:dyDescent="0.25">
      <c r="C102" s="3">
        <v>3000</v>
      </c>
      <c r="D102" s="3">
        <v>60</v>
      </c>
      <c r="F102" s="5">
        <v>1.24621</v>
      </c>
      <c r="G102" s="6">
        <v>1.4999999999999999E-4</v>
      </c>
      <c r="H102" s="7">
        <f t="shared" si="8"/>
        <v>18.693149999999999</v>
      </c>
      <c r="I102" s="8"/>
      <c r="J102" s="6"/>
      <c r="K102" s="7">
        <f t="shared" si="9"/>
        <v>0</v>
      </c>
      <c r="L102" s="7">
        <f t="shared" si="10"/>
        <v>0</v>
      </c>
    </row>
    <row r="103" spans="3:12" x14ac:dyDescent="0.25">
      <c r="C103" s="3">
        <v>3500</v>
      </c>
      <c r="D103" s="3">
        <v>70</v>
      </c>
      <c r="F103" s="5">
        <v>1.2524200000000001</v>
      </c>
      <c r="G103" s="6">
        <v>1.4999999999999999E-4</v>
      </c>
      <c r="H103" s="7">
        <f t="shared" si="8"/>
        <v>18.786300000000001</v>
      </c>
      <c r="I103" s="8"/>
      <c r="J103" s="6"/>
      <c r="K103" s="7">
        <f t="shared" si="9"/>
        <v>0</v>
      </c>
      <c r="L103" s="7">
        <f t="shared" si="10"/>
        <v>0</v>
      </c>
    </row>
    <row r="104" spans="3:12" x14ac:dyDescent="0.25">
      <c r="C104" s="3">
        <v>4000</v>
      </c>
      <c r="D104" s="3">
        <v>80</v>
      </c>
      <c r="F104" s="5">
        <v>1.2578499999999999</v>
      </c>
      <c r="G104" s="6">
        <v>1.3999999999999999E-4</v>
      </c>
      <c r="H104" s="7">
        <f t="shared" si="8"/>
        <v>17.609899999999996</v>
      </c>
      <c r="I104" s="8"/>
      <c r="J104" s="6"/>
      <c r="K104" s="7">
        <f t="shared" si="9"/>
        <v>0</v>
      </c>
      <c r="L104" s="7">
        <f t="shared" si="10"/>
        <v>0</v>
      </c>
    </row>
    <row r="105" spans="3:12" x14ac:dyDescent="0.25">
      <c r="C105" s="3">
        <v>4500</v>
      </c>
      <c r="D105" s="3">
        <v>90</v>
      </c>
      <c r="F105" s="5">
        <v>1.26274</v>
      </c>
      <c r="G105" s="6">
        <v>1.3999999999999999E-4</v>
      </c>
      <c r="H105" s="7">
        <f t="shared" si="8"/>
        <v>17.678359999999998</v>
      </c>
      <c r="I105" s="8"/>
      <c r="J105" s="6"/>
      <c r="K105" s="7">
        <f t="shared" si="9"/>
        <v>0</v>
      </c>
      <c r="L105" s="7">
        <f t="shared" si="10"/>
        <v>0</v>
      </c>
    </row>
    <row r="106" spans="3:12" x14ac:dyDescent="0.25">
      <c r="C106" s="3">
        <v>5000</v>
      </c>
      <c r="D106" s="3">
        <v>100</v>
      </c>
      <c r="F106" s="5">
        <v>1.2670999999999999</v>
      </c>
      <c r="G106" s="6">
        <v>1.4999999999999999E-4</v>
      </c>
      <c r="H106" s="7">
        <f t="shared" si="8"/>
        <v>19.006499999999996</v>
      </c>
      <c r="I106" s="8"/>
      <c r="J106" s="6"/>
      <c r="K106" s="7">
        <f t="shared" si="9"/>
        <v>0</v>
      </c>
      <c r="L106" s="7">
        <f t="shared" si="10"/>
        <v>0</v>
      </c>
    </row>
    <row r="107" spans="3:12" x14ac:dyDescent="0.25">
      <c r="C107" s="3">
        <v>5500</v>
      </c>
      <c r="D107" s="3">
        <v>110</v>
      </c>
      <c r="F107" s="5">
        <v>1.2711399999999999</v>
      </c>
      <c r="G107" s="6">
        <v>1.3999999999999999E-4</v>
      </c>
      <c r="H107" s="7">
        <f t="shared" si="8"/>
        <v>17.795959999999997</v>
      </c>
      <c r="I107" s="8"/>
      <c r="J107" s="6"/>
      <c r="K107" s="7">
        <f t="shared" si="9"/>
        <v>0</v>
      </c>
      <c r="L107" s="7">
        <f t="shared" si="10"/>
        <v>0</v>
      </c>
    </row>
    <row r="108" spans="3:12" x14ac:dyDescent="0.25">
      <c r="C108" s="3">
        <v>6000</v>
      </c>
      <c r="D108" s="3">
        <v>120</v>
      </c>
      <c r="F108" s="5">
        <v>1.2747900000000001</v>
      </c>
      <c r="G108" s="6">
        <v>1.3999999999999999E-4</v>
      </c>
      <c r="H108" s="7">
        <f t="shared" si="8"/>
        <v>17.847059999999999</v>
      </c>
      <c r="I108" s="8"/>
      <c r="J108" s="6"/>
      <c r="K108" s="7">
        <f t="shared" si="9"/>
        <v>0</v>
      </c>
      <c r="L108" s="7">
        <f t="shared" si="10"/>
        <v>0</v>
      </c>
    </row>
    <row r="109" spans="3:12" x14ac:dyDescent="0.25">
      <c r="C109" s="3">
        <v>6500</v>
      </c>
      <c r="D109" s="3">
        <v>130</v>
      </c>
      <c r="F109" s="5">
        <v>1.2775099999999999</v>
      </c>
      <c r="G109" s="6">
        <v>1.3999999999999999E-4</v>
      </c>
      <c r="H109" s="7">
        <f t="shared" si="8"/>
        <v>17.885139999999996</v>
      </c>
      <c r="I109" s="8"/>
      <c r="J109" s="6"/>
      <c r="K109" s="7">
        <f t="shared" si="9"/>
        <v>0</v>
      </c>
      <c r="L109" s="7">
        <f t="shared" si="10"/>
        <v>0</v>
      </c>
    </row>
    <row r="110" spans="3:12" x14ac:dyDescent="0.25">
      <c r="C110" s="3">
        <v>7000</v>
      </c>
      <c r="D110" s="3">
        <v>140</v>
      </c>
      <c r="F110" s="5">
        <v>1.2800800000000001</v>
      </c>
      <c r="G110" s="6">
        <v>1.2999999999999999E-4</v>
      </c>
      <c r="H110" s="7">
        <f t="shared" si="8"/>
        <v>16.64104</v>
      </c>
      <c r="I110" s="8"/>
      <c r="J110" s="6"/>
      <c r="K110" s="7">
        <f t="shared" si="9"/>
        <v>0</v>
      </c>
      <c r="L110" s="7">
        <f t="shared" si="10"/>
        <v>0</v>
      </c>
    </row>
    <row r="111" spans="3:12" x14ac:dyDescent="0.25">
      <c r="C111" s="3">
        <v>7500</v>
      </c>
      <c r="D111" s="3">
        <v>150</v>
      </c>
      <c r="F111" s="5">
        <v>1.2820199999999999</v>
      </c>
      <c r="G111" s="6">
        <v>1.2999999999999999E-4</v>
      </c>
      <c r="H111" s="7">
        <f t="shared" si="8"/>
        <v>16.666259999999998</v>
      </c>
      <c r="I111" s="8"/>
      <c r="J111" s="6"/>
      <c r="K111" s="7">
        <f t="shared" si="9"/>
        <v>0</v>
      </c>
      <c r="L111" s="7">
        <f t="shared" si="10"/>
        <v>0</v>
      </c>
    </row>
    <row r="112" spans="3:12" x14ac:dyDescent="0.25">
      <c r="C112" s="3">
        <v>8000</v>
      </c>
      <c r="D112" s="3">
        <v>160</v>
      </c>
      <c r="F112" s="5">
        <v>1.2836700000000001</v>
      </c>
      <c r="G112" s="6">
        <v>1.2999999999999999E-4</v>
      </c>
      <c r="H112" s="7">
        <f t="shared" si="8"/>
        <v>16.687709999999999</v>
      </c>
      <c r="I112" s="8"/>
      <c r="J112" s="6"/>
      <c r="K112" s="7">
        <f t="shared" si="9"/>
        <v>0</v>
      </c>
      <c r="L112" s="7">
        <f t="shared" si="10"/>
        <v>0</v>
      </c>
    </row>
    <row r="113" spans="3:12" x14ac:dyDescent="0.25">
      <c r="C113" s="3">
        <v>8500</v>
      </c>
      <c r="D113" s="3">
        <v>170</v>
      </c>
      <c r="F113" s="5">
        <v>1.2847299999999999</v>
      </c>
      <c r="G113" s="6">
        <v>1.2999999999999999E-4</v>
      </c>
      <c r="H113" s="7">
        <f t="shared" si="8"/>
        <v>16.701489999999996</v>
      </c>
      <c r="I113" s="8"/>
      <c r="J113" s="6"/>
      <c r="K113" s="7">
        <f t="shared" si="9"/>
        <v>0</v>
      </c>
      <c r="L113" s="7">
        <f t="shared" si="10"/>
        <v>0</v>
      </c>
    </row>
    <row r="114" spans="3:12" x14ac:dyDescent="0.25">
      <c r="C114" s="3">
        <v>9000</v>
      </c>
      <c r="D114" s="3">
        <v>180</v>
      </c>
      <c r="F114" s="5">
        <v>1.2855300000000001</v>
      </c>
      <c r="G114" s="6">
        <v>1.2999999999999999E-4</v>
      </c>
      <c r="H114" s="7">
        <f t="shared" si="8"/>
        <v>16.711889999999997</v>
      </c>
      <c r="I114" s="8"/>
      <c r="J114" s="6"/>
      <c r="K114" s="7">
        <f t="shared" si="9"/>
        <v>0</v>
      </c>
      <c r="L114" s="7">
        <f t="shared" si="10"/>
        <v>0</v>
      </c>
    </row>
    <row r="115" spans="3:12" x14ac:dyDescent="0.25">
      <c r="C115" s="3">
        <v>9500</v>
      </c>
      <c r="D115" s="3">
        <v>190</v>
      </c>
      <c r="F115" s="5">
        <v>1.2861400000000001</v>
      </c>
      <c r="G115" s="6">
        <v>1.2999999999999999E-4</v>
      </c>
      <c r="H115" s="7">
        <f t="shared" si="8"/>
        <v>16.719819999999999</v>
      </c>
      <c r="I115" s="8"/>
      <c r="J115" s="6"/>
      <c r="K115" s="7">
        <f t="shared" si="9"/>
        <v>0</v>
      </c>
      <c r="L115" s="7">
        <f t="shared" si="10"/>
        <v>0</v>
      </c>
    </row>
    <row r="116" spans="3:12" x14ac:dyDescent="0.25">
      <c r="C116" s="3">
        <v>10000</v>
      </c>
      <c r="D116" s="3">
        <v>200</v>
      </c>
      <c r="F116" s="5">
        <v>1.28633</v>
      </c>
      <c r="G116" s="6">
        <v>1.2999999999999999E-4</v>
      </c>
      <c r="H116" s="7">
        <f t="shared" si="8"/>
        <v>16.722289999999997</v>
      </c>
      <c r="I116" s="8"/>
      <c r="J116" s="6"/>
      <c r="K116" s="7">
        <f t="shared" si="9"/>
        <v>0</v>
      </c>
      <c r="L116" s="7">
        <f t="shared" si="10"/>
        <v>0</v>
      </c>
    </row>
    <row r="117" spans="3:12" x14ac:dyDescent="0.25">
      <c r="C117" s="3">
        <v>10500</v>
      </c>
      <c r="D117" s="3">
        <v>210</v>
      </c>
      <c r="F117" s="5">
        <v>1.28607</v>
      </c>
      <c r="G117" s="6">
        <v>1.2E-4</v>
      </c>
      <c r="H117" s="7">
        <f t="shared" si="8"/>
        <v>15.432840000000001</v>
      </c>
      <c r="I117" s="8"/>
      <c r="J117" s="6"/>
      <c r="K117" s="7">
        <f t="shared" si="9"/>
        <v>0</v>
      </c>
      <c r="L117" s="7">
        <f t="shared" si="10"/>
        <v>0</v>
      </c>
    </row>
    <row r="118" spans="3:12" x14ac:dyDescent="0.25">
      <c r="C118" s="3">
        <v>11000</v>
      </c>
      <c r="D118" s="3">
        <v>220</v>
      </c>
      <c r="F118" s="5">
        <v>1.2856799999999999</v>
      </c>
      <c r="G118" s="6">
        <v>1.2999999999999999E-4</v>
      </c>
      <c r="H118" s="7">
        <f t="shared" si="8"/>
        <v>16.713839999999998</v>
      </c>
      <c r="I118" s="8"/>
      <c r="J118" s="6"/>
      <c r="K118" s="7">
        <f t="shared" si="9"/>
        <v>0</v>
      </c>
      <c r="L118" s="7">
        <f t="shared" si="10"/>
        <v>0</v>
      </c>
    </row>
    <row r="119" spans="3:12" x14ac:dyDescent="0.25">
      <c r="C119" s="3">
        <v>11500</v>
      </c>
      <c r="D119" s="3">
        <v>230</v>
      </c>
      <c r="F119" s="5">
        <v>1.28487</v>
      </c>
      <c r="G119" s="6">
        <v>1.2E-4</v>
      </c>
      <c r="H119" s="7">
        <f t="shared" si="8"/>
        <v>15.41844</v>
      </c>
      <c r="I119" s="8"/>
      <c r="J119" s="6"/>
      <c r="K119" s="7">
        <f t="shared" si="9"/>
        <v>0</v>
      </c>
      <c r="L119" s="7">
        <f t="shared" si="10"/>
        <v>0</v>
      </c>
    </row>
    <row r="120" spans="3:12" x14ac:dyDescent="0.25">
      <c r="C120" s="3">
        <v>12000</v>
      </c>
      <c r="D120" s="3">
        <v>240</v>
      </c>
      <c r="F120" s="5">
        <v>1.28379</v>
      </c>
      <c r="G120" s="6">
        <v>1.2E-4</v>
      </c>
      <c r="H120" s="7">
        <f t="shared" si="8"/>
        <v>15.405480000000001</v>
      </c>
      <c r="I120" s="8"/>
      <c r="J120" s="6"/>
      <c r="K120" s="7">
        <f t="shared" si="9"/>
        <v>0</v>
      </c>
      <c r="L120" s="7">
        <f t="shared" si="10"/>
        <v>0</v>
      </c>
    </row>
    <row r="121" spans="3:12" x14ac:dyDescent="0.25">
      <c r="C121" s="3">
        <v>12500</v>
      </c>
      <c r="D121" s="3">
        <v>250</v>
      </c>
      <c r="F121" s="5">
        <v>1.2824500000000001</v>
      </c>
      <c r="G121" s="6">
        <v>1.2E-4</v>
      </c>
      <c r="H121" s="7">
        <f t="shared" si="8"/>
        <v>15.389400000000002</v>
      </c>
      <c r="I121" s="8"/>
      <c r="J121" s="6"/>
      <c r="K121" s="7">
        <f t="shared" si="9"/>
        <v>0</v>
      </c>
      <c r="L121" s="7">
        <f t="shared" si="10"/>
        <v>0</v>
      </c>
    </row>
  </sheetData>
  <mergeCells count="8">
    <mergeCell ref="C93:D93"/>
    <mergeCell ref="F93:L93"/>
    <mergeCell ref="C3:D3"/>
    <mergeCell ref="F3:L3"/>
    <mergeCell ref="C33:D33"/>
    <mergeCell ref="F33:L33"/>
    <mergeCell ref="C63:D63"/>
    <mergeCell ref="F63:L6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6DEE-C2C8-4153-95AE-5A53CB39F1F6}">
  <dimension ref="C2:N121"/>
  <sheetViews>
    <sheetView zoomScale="115" zoomScaleNormal="115" workbookViewId="0">
      <selection activeCell="P42" sqref="P42"/>
    </sheetView>
  </sheetViews>
  <sheetFormatPr defaultRowHeight="15" x14ac:dyDescent="0.25"/>
  <cols>
    <col min="1" max="3" width="9" style="2"/>
    <col min="4" max="4" width="9.25" style="2" customWidth="1"/>
    <col min="5" max="6" width="9" style="2"/>
    <col min="7" max="7" width="9.375" style="2" customWidth="1"/>
    <col min="8" max="8" width="10.625" style="2" customWidth="1"/>
    <col min="9" max="9" width="10" style="2" customWidth="1"/>
    <col min="10" max="10" width="9.25" style="2" customWidth="1"/>
    <col min="11" max="11" width="12" style="2" customWidth="1"/>
    <col min="12" max="12" width="11.875" style="2" customWidth="1"/>
    <col min="13" max="17" width="9" style="2"/>
    <col min="18" max="20" width="8" style="2" customWidth="1"/>
    <col min="21" max="16384" width="9" style="2"/>
  </cols>
  <sheetData>
    <row r="2" spans="3:12" x14ac:dyDescent="0.25">
      <c r="C2" s="1" t="s">
        <v>66</v>
      </c>
    </row>
    <row r="3" spans="3:12" x14ac:dyDescent="0.25">
      <c r="C3" s="24" t="s">
        <v>67</v>
      </c>
      <c r="D3" s="24"/>
      <c r="F3" s="24" t="s">
        <v>68</v>
      </c>
      <c r="G3" s="24"/>
      <c r="H3" s="24"/>
      <c r="I3" s="24"/>
      <c r="J3" s="24"/>
      <c r="K3" s="24"/>
      <c r="L3" s="24"/>
    </row>
    <row r="4" spans="3:12" x14ac:dyDescent="0.25">
      <c r="C4" s="3" t="s">
        <v>2</v>
      </c>
      <c r="D4" s="3" t="s">
        <v>69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4</v>
      </c>
      <c r="K4" s="3" t="s">
        <v>7</v>
      </c>
      <c r="L4" s="3" t="s">
        <v>5</v>
      </c>
    </row>
    <row r="5" spans="3:12" x14ac:dyDescent="0.25">
      <c r="C5" s="3">
        <v>0</v>
      </c>
      <c r="D5" s="3">
        <v>0</v>
      </c>
      <c r="F5" s="5">
        <v>1.1583300000000001</v>
      </c>
      <c r="G5" s="8">
        <v>1.46E-4</v>
      </c>
      <c r="H5" s="7">
        <f>G5*100000</f>
        <v>14.6</v>
      </c>
      <c r="I5" s="8">
        <v>6.7764469999999997E-3</v>
      </c>
      <c r="J5" s="8">
        <v>5.5274610000000002E-5</v>
      </c>
      <c r="K5" s="7">
        <f>I5*100000</f>
        <v>677.64469999999994</v>
      </c>
      <c r="L5" s="7">
        <f>J5*100000</f>
        <v>5.5274609999999997</v>
      </c>
    </row>
    <row r="6" spans="3:12" x14ac:dyDescent="0.25">
      <c r="C6" s="3">
        <v>250</v>
      </c>
      <c r="D6" s="3">
        <v>5</v>
      </c>
      <c r="F6" s="5">
        <v>1.153089</v>
      </c>
      <c r="G6" s="8">
        <v>1.47E-4</v>
      </c>
      <c r="H6" s="7">
        <f t="shared" ref="H6:H31" si="0">G6*100000</f>
        <v>14.7</v>
      </c>
      <c r="I6" s="8">
        <v>6.7807620000000001E-3</v>
      </c>
      <c r="J6" s="8">
        <v>5.7730079999999997E-5</v>
      </c>
      <c r="K6" s="7">
        <f t="shared" ref="K6:L31" si="1">I6*100000</f>
        <v>678.07619999999997</v>
      </c>
      <c r="L6" s="7">
        <f t="shared" si="1"/>
        <v>5.7730079999999999</v>
      </c>
    </row>
    <row r="7" spans="3:12" x14ac:dyDescent="0.25">
      <c r="C7" s="3">
        <v>500</v>
      </c>
      <c r="D7" s="3">
        <v>10</v>
      </c>
      <c r="F7" s="5">
        <v>1.1476949999999999</v>
      </c>
      <c r="G7" s="8">
        <v>1.4200000000000001E-4</v>
      </c>
      <c r="H7" s="7">
        <f t="shared" si="0"/>
        <v>14.200000000000001</v>
      </c>
      <c r="I7" s="8">
        <v>6.634109E-3</v>
      </c>
      <c r="J7" s="8">
        <v>5.6886360000000002E-5</v>
      </c>
      <c r="K7" s="7">
        <f t="shared" si="1"/>
        <v>663.41089999999997</v>
      </c>
      <c r="L7" s="7">
        <f t="shared" si="1"/>
        <v>5.6886359999999998</v>
      </c>
    </row>
    <row r="8" spans="3:12" x14ac:dyDescent="0.25">
      <c r="C8" s="3">
        <v>1000</v>
      </c>
      <c r="D8" s="3">
        <v>20</v>
      </c>
      <c r="F8" s="5">
        <v>1.1356470000000001</v>
      </c>
      <c r="G8" s="8">
        <v>1.4200000000000001E-4</v>
      </c>
      <c r="H8" s="7">
        <f t="shared" si="0"/>
        <v>14.200000000000001</v>
      </c>
      <c r="I8" s="8">
        <v>6.504045E-3</v>
      </c>
      <c r="J8" s="8">
        <v>5.4269499999999999E-5</v>
      </c>
      <c r="K8" s="7">
        <f t="shared" si="1"/>
        <v>650.40449999999998</v>
      </c>
      <c r="L8" s="7">
        <f t="shared" si="1"/>
        <v>5.4269499999999997</v>
      </c>
    </row>
    <row r="9" spans="3:12" x14ac:dyDescent="0.25">
      <c r="C9" s="3">
        <v>1500</v>
      </c>
      <c r="D9" s="3">
        <v>30</v>
      </c>
      <c r="F9" s="5">
        <v>1.1232249999999999</v>
      </c>
      <c r="G9" s="8">
        <v>1.4300000000000001E-4</v>
      </c>
      <c r="H9" s="7">
        <f t="shared" si="0"/>
        <v>14.3</v>
      </c>
      <c r="I9" s="8">
        <v>6.2940440000000004E-3</v>
      </c>
      <c r="J9" s="8">
        <v>5.4195089999999998E-5</v>
      </c>
      <c r="K9" s="7">
        <f t="shared" si="1"/>
        <v>629.40440000000001</v>
      </c>
      <c r="L9" s="7">
        <f t="shared" si="1"/>
        <v>5.4195089999999997</v>
      </c>
    </row>
    <row r="10" spans="3:12" x14ac:dyDescent="0.25">
      <c r="C10" s="3">
        <v>2000</v>
      </c>
      <c r="D10" s="3">
        <v>40</v>
      </c>
      <c r="F10" s="5">
        <v>1.1093280000000001</v>
      </c>
      <c r="G10" s="8">
        <v>1.36E-4</v>
      </c>
      <c r="H10" s="7">
        <f t="shared" si="0"/>
        <v>13.6</v>
      </c>
      <c r="I10" s="8">
        <v>6.2297580000000002E-3</v>
      </c>
      <c r="J10" s="8">
        <v>5.9117480000000003E-5</v>
      </c>
      <c r="K10" s="7">
        <f t="shared" si="1"/>
        <v>622.97580000000005</v>
      </c>
      <c r="L10" s="7">
        <f t="shared" si="1"/>
        <v>5.9117480000000002</v>
      </c>
    </row>
    <row r="11" spans="3:12" x14ac:dyDescent="0.25">
      <c r="C11" s="3">
        <v>2500</v>
      </c>
      <c r="D11" s="3">
        <v>50</v>
      </c>
      <c r="F11" s="5">
        <v>1.095251</v>
      </c>
      <c r="G11" s="8">
        <v>1.5799999999999999E-4</v>
      </c>
      <c r="H11" s="7">
        <f t="shared" si="0"/>
        <v>15.799999999999999</v>
      </c>
      <c r="I11" s="8">
        <v>6.0243529999999997E-3</v>
      </c>
      <c r="J11" s="8">
        <v>5.5181040000000002E-5</v>
      </c>
      <c r="K11" s="7">
        <f t="shared" si="1"/>
        <v>602.43529999999998</v>
      </c>
      <c r="L11" s="7">
        <f t="shared" si="1"/>
        <v>5.5181040000000001</v>
      </c>
    </row>
    <row r="12" spans="3:12" x14ac:dyDescent="0.25">
      <c r="C12" s="3">
        <v>3000</v>
      </c>
      <c r="D12" s="3">
        <v>60</v>
      </c>
      <c r="F12" s="5">
        <v>1.0802210000000001</v>
      </c>
      <c r="G12" s="8">
        <v>1.3799999999999999E-4</v>
      </c>
      <c r="H12" s="7">
        <f t="shared" si="0"/>
        <v>13.799999999999999</v>
      </c>
      <c r="I12" s="8">
        <v>5.8806680000000004E-3</v>
      </c>
      <c r="J12" s="8">
        <v>5.0216000000000002E-5</v>
      </c>
      <c r="K12" s="7">
        <f t="shared" si="1"/>
        <v>588.06680000000006</v>
      </c>
      <c r="L12" s="7">
        <f t="shared" si="1"/>
        <v>5.0216000000000003</v>
      </c>
    </row>
    <row r="13" spans="3:12" x14ac:dyDescent="0.25">
      <c r="C13" s="3">
        <v>3500</v>
      </c>
      <c r="D13" s="3">
        <v>70</v>
      </c>
      <c r="F13" s="5">
        <v>1.0643769999999999</v>
      </c>
      <c r="G13" s="8">
        <v>1.34E-4</v>
      </c>
      <c r="H13" s="7">
        <f t="shared" si="0"/>
        <v>13.4</v>
      </c>
      <c r="I13" s="8">
        <v>5.6735320000000002E-3</v>
      </c>
      <c r="J13" s="8">
        <v>4.9621440000000002E-5</v>
      </c>
      <c r="K13" s="7">
        <f t="shared" si="1"/>
        <v>567.35320000000002</v>
      </c>
      <c r="L13" s="7">
        <f t="shared" si="1"/>
        <v>4.9621440000000003</v>
      </c>
    </row>
    <row r="14" spans="3:12" x14ac:dyDescent="0.25">
      <c r="C14" s="3">
        <v>4000</v>
      </c>
      <c r="D14" s="3">
        <v>80</v>
      </c>
      <c r="F14" s="5">
        <v>1.048654</v>
      </c>
      <c r="G14" s="8">
        <v>1.2899999999999999E-4</v>
      </c>
      <c r="H14" s="7">
        <f t="shared" si="0"/>
        <v>12.899999999999999</v>
      </c>
      <c r="I14" s="8">
        <v>5.5851640000000001E-3</v>
      </c>
      <c r="J14" s="8">
        <v>5.217547E-5</v>
      </c>
      <c r="K14" s="7">
        <f t="shared" si="1"/>
        <v>558.51639999999998</v>
      </c>
      <c r="L14" s="7">
        <f t="shared" si="1"/>
        <v>5.2175469999999997</v>
      </c>
    </row>
    <row r="15" spans="3:12" x14ac:dyDescent="0.25">
      <c r="C15" s="3">
        <v>4500</v>
      </c>
      <c r="D15" s="3">
        <v>90</v>
      </c>
      <c r="F15" s="5">
        <v>1.0321400000000001</v>
      </c>
      <c r="G15" s="8">
        <v>1.3200000000000001E-4</v>
      </c>
      <c r="H15" s="7">
        <f t="shared" si="0"/>
        <v>13.200000000000001</v>
      </c>
      <c r="I15" s="8">
        <v>5.5308359999999999E-3</v>
      </c>
      <c r="J15" s="8">
        <v>4.3057930000000002E-5</v>
      </c>
      <c r="K15" s="7">
        <f t="shared" si="1"/>
        <v>553.08360000000005</v>
      </c>
      <c r="L15" s="7">
        <f t="shared" si="1"/>
        <v>4.3057930000000004</v>
      </c>
    </row>
    <row r="16" spans="3:12" x14ac:dyDescent="0.25">
      <c r="C16" s="3">
        <v>5000</v>
      </c>
      <c r="D16" s="3">
        <v>100</v>
      </c>
      <c r="F16" s="5">
        <v>1.0159560000000001</v>
      </c>
      <c r="G16" s="8">
        <v>1.3999999999999999E-4</v>
      </c>
      <c r="H16" s="7">
        <f t="shared" si="0"/>
        <v>13.999999999999998</v>
      </c>
      <c r="I16" s="8">
        <v>5.2798940000000003E-3</v>
      </c>
      <c r="J16" s="8">
        <v>4.8566329999999998E-5</v>
      </c>
      <c r="K16" s="7">
        <f t="shared" si="1"/>
        <v>527.98940000000005</v>
      </c>
      <c r="L16" s="7">
        <f t="shared" si="1"/>
        <v>4.8566329999999995</v>
      </c>
    </row>
    <row r="17" spans="3:14" x14ac:dyDescent="0.25">
      <c r="C17" s="3">
        <v>5500</v>
      </c>
      <c r="D17" s="3">
        <v>110</v>
      </c>
      <c r="F17" s="5">
        <v>0.99925399999999998</v>
      </c>
      <c r="G17" s="8">
        <v>1.17E-4</v>
      </c>
      <c r="H17" s="7">
        <f t="shared" si="0"/>
        <v>11.7</v>
      </c>
      <c r="I17" s="8">
        <v>5.151971E-3</v>
      </c>
      <c r="J17" s="8">
        <v>4.9627979999999998E-5</v>
      </c>
      <c r="K17" s="7">
        <f t="shared" si="1"/>
        <v>515.19709999999998</v>
      </c>
      <c r="L17" s="7">
        <f t="shared" si="1"/>
        <v>4.9627980000000003</v>
      </c>
    </row>
    <row r="18" spans="3:14" x14ac:dyDescent="0.25">
      <c r="C18" s="3">
        <v>6000</v>
      </c>
      <c r="D18" s="3">
        <v>120</v>
      </c>
      <c r="F18" s="5">
        <v>0.98239299999999996</v>
      </c>
      <c r="G18" s="8">
        <v>1.26E-4</v>
      </c>
      <c r="H18" s="7">
        <f t="shared" si="0"/>
        <v>12.6</v>
      </c>
      <c r="I18" s="8">
        <v>4.9855999999999998E-3</v>
      </c>
      <c r="J18" s="8">
        <v>4.8346619999999997E-5</v>
      </c>
      <c r="K18" s="7">
        <f t="shared" si="1"/>
        <v>498.56</v>
      </c>
      <c r="L18" s="7">
        <f t="shared" si="1"/>
        <v>4.8346619999999998</v>
      </c>
    </row>
    <row r="19" spans="3:14" x14ac:dyDescent="0.25">
      <c r="C19" s="3">
        <v>6500</v>
      </c>
      <c r="D19" s="3">
        <v>130</v>
      </c>
      <c r="F19" s="5">
        <v>0.96621500000000005</v>
      </c>
      <c r="G19" s="8">
        <v>1.2439999999999999E-4</v>
      </c>
      <c r="H19" s="7">
        <f t="shared" si="0"/>
        <v>12.44</v>
      </c>
      <c r="I19" s="8">
        <v>4.8923500000000002E-3</v>
      </c>
      <c r="J19" s="8">
        <v>4.8699999999999998E-5</v>
      </c>
      <c r="K19" s="7">
        <f t="shared" si="1"/>
        <v>489.23500000000001</v>
      </c>
      <c r="L19" s="7">
        <f t="shared" si="1"/>
        <v>4.87</v>
      </c>
    </row>
    <row r="20" spans="3:14" x14ac:dyDescent="0.25">
      <c r="C20" s="3">
        <v>7000</v>
      </c>
      <c r="D20" s="3">
        <v>140</v>
      </c>
      <c r="F20" s="5"/>
      <c r="G20" s="8"/>
      <c r="H20" s="7">
        <f t="shared" si="0"/>
        <v>0</v>
      </c>
      <c r="I20" s="8"/>
      <c r="J20" s="8"/>
      <c r="K20" s="7">
        <f t="shared" si="1"/>
        <v>0</v>
      </c>
      <c r="L20" s="7">
        <f t="shared" si="1"/>
        <v>0</v>
      </c>
    </row>
    <row r="21" spans="3:14" x14ac:dyDescent="0.25">
      <c r="C21" s="3">
        <v>7500</v>
      </c>
      <c r="D21" s="3">
        <v>150</v>
      </c>
      <c r="F21" s="5"/>
      <c r="G21" s="8"/>
      <c r="H21" s="7">
        <f t="shared" si="0"/>
        <v>0</v>
      </c>
      <c r="I21" s="8"/>
      <c r="J21" s="8"/>
      <c r="K21" s="7">
        <f t="shared" si="1"/>
        <v>0</v>
      </c>
      <c r="L21" s="7">
        <f t="shared" si="1"/>
        <v>0</v>
      </c>
    </row>
    <row r="22" spans="3:14" x14ac:dyDescent="0.25">
      <c r="C22" s="3">
        <v>8000</v>
      </c>
      <c r="D22" s="3">
        <v>160</v>
      </c>
      <c r="F22" s="5"/>
      <c r="G22" s="8"/>
      <c r="H22" s="7">
        <f t="shared" si="0"/>
        <v>0</v>
      </c>
      <c r="I22" s="8"/>
      <c r="J22" s="8"/>
      <c r="K22" s="7">
        <f t="shared" si="1"/>
        <v>0</v>
      </c>
      <c r="L22" s="7">
        <f t="shared" si="1"/>
        <v>0</v>
      </c>
    </row>
    <row r="23" spans="3:14" x14ac:dyDescent="0.25">
      <c r="C23" s="3">
        <v>8500</v>
      </c>
      <c r="D23" s="3">
        <v>170</v>
      </c>
      <c r="F23" s="5"/>
      <c r="G23" s="8"/>
      <c r="H23" s="7">
        <f t="shared" si="0"/>
        <v>0</v>
      </c>
      <c r="I23" s="8"/>
      <c r="J23" s="8"/>
      <c r="K23" s="7">
        <f t="shared" si="1"/>
        <v>0</v>
      </c>
      <c r="L23" s="7">
        <f t="shared" si="1"/>
        <v>0</v>
      </c>
    </row>
    <row r="24" spans="3:14" x14ac:dyDescent="0.25">
      <c r="C24" s="3">
        <v>9000</v>
      </c>
      <c r="D24" s="3">
        <v>180</v>
      </c>
      <c r="F24" s="5"/>
      <c r="G24" s="8"/>
      <c r="H24" s="7">
        <f t="shared" si="0"/>
        <v>0</v>
      </c>
      <c r="I24" s="8"/>
      <c r="J24" s="8"/>
      <c r="K24" s="7">
        <f t="shared" si="1"/>
        <v>0</v>
      </c>
      <c r="L24" s="7">
        <f t="shared" si="1"/>
        <v>0</v>
      </c>
    </row>
    <row r="25" spans="3:14" x14ac:dyDescent="0.25">
      <c r="C25" s="3">
        <v>9500</v>
      </c>
      <c r="D25" s="3">
        <v>190</v>
      </c>
      <c r="F25" s="5"/>
      <c r="G25" s="8"/>
      <c r="H25" s="7">
        <f t="shared" si="0"/>
        <v>0</v>
      </c>
      <c r="I25" s="8"/>
      <c r="J25" s="8"/>
      <c r="K25" s="7">
        <f t="shared" si="1"/>
        <v>0</v>
      </c>
      <c r="L25" s="7">
        <f t="shared" si="1"/>
        <v>0</v>
      </c>
    </row>
    <row r="26" spans="3:14" ht="18.75" x14ac:dyDescent="0.3">
      <c r="C26" s="3">
        <v>10000</v>
      </c>
      <c r="D26" s="3">
        <v>200</v>
      </c>
      <c r="F26" s="5"/>
      <c r="G26" s="8"/>
      <c r="H26" s="7">
        <f t="shared" si="0"/>
        <v>0</v>
      </c>
      <c r="I26" s="8"/>
      <c r="J26" s="8"/>
      <c r="K26" s="7">
        <f t="shared" si="1"/>
        <v>0</v>
      </c>
      <c r="L26" s="7">
        <f t="shared" si="1"/>
        <v>0</v>
      </c>
      <c r="N26" s="15" t="s">
        <v>78</v>
      </c>
    </row>
    <row r="27" spans="3:14" ht="18.75" x14ac:dyDescent="0.3">
      <c r="C27" s="3">
        <v>10500</v>
      </c>
      <c r="D27" s="3">
        <v>210</v>
      </c>
      <c r="F27" s="5"/>
      <c r="G27" s="8"/>
      <c r="H27" s="7">
        <f t="shared" si="0"/>
        <v>0</v>
      </c>
      <c r="I27" s="8"/>
      <c r="J27" s="8"/>
      <c r="K27" s="7">
        <f t="shared" si="1"/>
        <v>0</v>
      </c>
      <c r="L27" s="7">
        <f t="shared" si="1"/>
        <v>0</v>
      </c>
      <c r="N27" s="14" t="s">
        <v>79</v>
      </c>
    </row>
    <row r="28" spans="3:14" ht="18.75" x14ac:dyDescent="0.3">
      <c r="C28" s="3">
        <v>11000</v>
      </c>
      <c r="D28" s="3">
        <v>220</v>
      </c>
      <c r="F28" s="5"/>
      <c r="G28" s="8"/>
      <c r="H28" s="7">
        <f t="shared" si="0"/>
        <v>0</v>
      </c>
      <c r="I28" s="8"/>
      <c r="J28" s="8"/>
      <c r="K28" s="7">
        <f t="shared" si="1"/>
        <v>0</v>
      </c>
      <c r="L28" s="7">
        <f t="shared" si="1"/>
        <v>0</v>
      </c>
      <c r="N28" s="19" t="s">
        <v>80</v>
      </c>
    </row>
    <row r="29" spans="3:14" x14ac:dyDescent="0.25">
      <c r="C29" s="3">
        <v>11500</v>
      </c>
      <c r="D29" s="3">
        <v>230</v>
      </c>
      <c r="F29" s="5"/>
      <c r="G29" s="8"/>
      <c r="H29" s="7">
        <f t="shared" si="0"/>
        <v>0</v>
      </c>
      <c r="I29" s="8"/>
      <c r="J29" s="8"/>
      <c r="K29" s="7">
        <f t="shared" si="1"/>
        <v>0</v>
      </c>
      <c r="L29" s="7">
        <f t="shared" si="1"/>
        <v>0</v>
      </c>
    </row>
    <row r="30" spans="3:14" x14ac:dyDescent="0.25">
      <c r="C30" s="3">
        <v>12000</v>
      </c>
      <c r="D30" s="3">
        <v>240</v>
      </c>
      <c r="F30" s="5"/>
      <c r="G30" s="8"/>
      <c r="H30" s="7">
        <f t="shared" si="0"/>
        <v>0</v>
      </c>
      <c r="I30" s="8"/>
      <c r="J30" s="8"/>
      <c r="K30" s="7">
        <f t="shared" si="1"/>
        <v>0</v>
      </c>
      <c r="L30" s="7">
        <f t="shared" si="1"/>
        <v>0</v>
      </c>
    </row>
    <row r="31" spans="3:14" x14ac:dyDescent="0.25">
      <c r="C31" s="3">
        <v>12500</v>
      </c>
      <c r="D31" s="3">
        <v>250</v>
      </c>
      <c r="F31" s="5"/>
      <c r="G31" s="8"/>
      <c r="H31" s="7">
        <f t="shared" si="0"/>
        <v>0</v>
      </c>
      <c r="I31" s="8"/>
      <c r="J31" s="8"/>
      <c r="K31" s="7">
        <f t="shared" si="1"/>
        <v>0</v>
      </c>
      <c r="L31" s="7">
        <f t="shared" si="1"/>
        <v>0</v>
      </c>
    </row>
    <row r="33" spans="3:12" x14ac:dyDescent="0.25">
      <c r="C33" s="24" t="s">
        <v>67</v>
      </c>
      <c r="D33" s="24"/>
      <c r="F33" s="24" t="s">
        <v>70</v>
      </c>
      <c r="G33" s="24"/>
      <c r="H33" s="24"/>
      <c r="I33" s="24"/>
      <c r="J33" s="24"/>
      <c r="K33" s="24"/>
      <c r="L33" s="24"/>
    </row>
    <row r="34" spans="3:12" x14ac:dyDescent="0.25">
      <c r="C34" s="3" t="s">
        <v>2</v>
      </c>
      <c r="D34" s="3" t="s">
        <v>69</v>
      </c>
      <c r="F34" s="3" t="s">
        <v>3</v>
      </c>
      <c r="G34" s="3" t="s">
        <v>4</v>
      </c>
      <c r="H34" s="3" t="s">
        <v>5</v>
      </c>
      <c r="I34" s="3" t="s">
        <v>6</v>
      </c>
      <c r="J34" s="3" t="s">
        <v>4</v>
      </c>
      <c r="K34" s="3" t="s">
        <v>7</v>
      </c>
      <c r="L34" s="3" t="s">
        <v>5</v>
      </c>
    </row>
    <row r="35" spans="3:12" x14ac:dyDescent="0.25">
      <c r="C35" s="3">
        <v>0</v>
      </c>
      <c r="D35" s="3">
        <v>0</v>
      </c>
      <c r="F35" s="5"/>
      <c r="G35" s="6"/>
      <c r="H35" s="7">
        <f>G35*100000*F35</f>
        <v>0</v>
      </c>
      <c r="I35" s="8"/>
      <c r="J35" s="6"/>
      <c r="K35" s="7">
        <f>I35*100000</f>
        <v>0</v>
      </c>
      <c r="L35" s="7">
        <f>I35*J35*100000</f>
        <v>0</v>
      </c>
    </row>
    <row r="36" spans="3:12" x14ac:dyDescent="0.25">
      <c r="C36" s="3">
        <v>250</v>
      </c>
      <c r="D36" s="3">
        <v>5</v>
      </c>
      <c r="F36" s="5"/>
      <c r="G36" s="6"/>
      <c r="H36" s="7">
        <f t="shared" ref="H36:H61" si="2">G36*100000*F36</f>
        <v>0</v>
      </c>
      <c r="I36" s="8"/>
      <c r="J36" s="6"/>
      <c r="K36" s="7">
        <f t="shared" ref="K36:K61" si="3">I36*100000</f>
        <v>0</v>
      </c>
      <c r="L36" s="7">
        <f t="shared" ref="L36:L61" si="4">I36*J36*100000</f>
        <v>0</v>
      </c>
    </row>
    <row r="37" spans="3:12" x14ac:dyDescent="0.25">
      <c r="C37" s="3">
        <v>500</v>
      </c>
      <c r="D37" s="3">
        <v>10</v>
      </c>
      <c r="F37" s="5"/>
      <c r="G37" s="6"/>
      <c r="H37" s="7">
        <f t="shared" si="2"/>
        <v>0</v>
      </c>
      <c r="I37" s="8"/>
      <c r="J37" s="6"/>
      <c r="K37" s="7">
        <f t="shared" si="3"/>
        <v>0</v>
      </c>
      <c r="L37" s="7">
        <f t="shared" si="4"/>
        <v>0</v>
      </c>
    </row>
    <row r="38" spans="3:12" x14ac:dyDescent="0.25">
      <c r="C38" s="3">
        <v>1000</v>
      </c>
      <c r="D38" s="3">
        <v>20</v>
      </c>
      <c r="F38" s="5"/>
      <c r="G38" s="6"/>
      <c r="H38" s="7">
        <f t="shared" si="2"/>
        <v>0</v>
      </c>
      <c r="I38" s="8"/>
      <c r="J38" s="6"/>
      <c r="K38" s="7">
        <f t="shared" si="3"/>
        <v>0</v>
      </c>
      <c r="L38" s="7">
        <f t="shared" si="4"/>
        <v>0</v>
      </c>
    </row>
    <row r="39" spans="3:12" x14ac:dyDescent="0.25">
      <c r="C39" s="3">
        <v>1500</v>
      </c>
      <c r="D39" s="3">
        <v>30</v>
      </c>
      <c r="F39" s="5"/>
      <c r="G39" s="6"/>
      <c r="H39" s="7">
        <f t="shared" si="2"/>
        <v>0</v>
      </c>
      <c r="I39" s="8"/>
      <c r="J39" s="6"/>
      <c r="K39" s="7">
        <f t="shared" si="3"/>
        <v>0</v>
      </c>
      <c r="L39" s="7">
        <f t="shared" si="4"/>
        <v>0</v>
      </c>
    </row>
    <row r="40" spans="3:12" x14ac:dyDescent="0.25">
      <c r="C40" s="3">
        <v>2000</v>
      </c>
      <c r="D40" s="3">
        <v>40</v>
      </c>
      <c r="F40" s="5"/>
      <c r="G40" s="6"/>
      <c r="H40" s="7">
        <f t="shared" si="2"/>
        <v>0</v>
      </c>
      <c r="I40" s="8"/>
      <c r="J40" s="6"/>
      <c r="K40" s="7">
        <f t="shared" si="3"/>
        <v>0</v>
      </c>
      <c r="L40" s="7">
        <f t="shared" si="4"/>
        <v>0</v>
      </c>
    </row>
    <row r="41" spans="3:12" x14ac:dyDescent="0.25">
      <c r="C41" s="3">
        <v>2500</v>
      </c>
      <c r="D41" s="3">
        <v>50</v>
      </c>
      <c r="F41" s="5"/>
      <c r="G41" s="6"/>
      <c r="H41" s="7">
        <f t="shared" si="2"/>
        <v>0</v>
      </c>
      <c r="I41" s="8"/>
      <c r="J41" s="6"/>
      <c r="K41" s="7">
        <f t="shared" si="3"/>
        <v>0</v>
      </c>
      <c r="L41" s="7">
        <f t="shared" si="4"/>
        <v>0</v>
      </c>
    </row>
    <row r="42" spans="3:12" x14ac:dyDescent="0.25">
      <c r="C42" s="3">
        <v>3000</v>
      </c>
      <c r="D42" s="3">
        <v>60</v>
      </c>
      <c r="F42" s="5"/>
      <c r="G42" s="6"/>
      <c r="H42" s="7">
        <f t="shared" si="2"/>
        <v>0</v>
      </c>
      <c r="I42" s="8"/>
      <c r="J42" s="6"/>
      <c r="K42" s="7">
        <f t="shared" si="3"/>
        <v>0</v>
      </c>
      <c r="L42" s="7">
        <f t="shared" si="4"/>
        <v>0</v>
      </c>
    </row>
    <row r="43" spans="3:12" x14ac:dyDescent="0.25">
      <c r="C43" s="3">
        <v>3500</v>
      </c>
      <c r="D43" s="3">
        <v>70</v>
      </c>
      <c r="F43" s="5"/>
      <c r="G43" s="6"/>
      <c r="H43" s="7">
        <f t="shared" si="2"/>
        <v>0</v>
      </c>
      <c r="I43" s="8"/>
      <c r="J43" s="6"/>
      <c r="K43" s="7">
        <f t="shared" si="3"/>
        <v>0</v>
      </c>
      <c r="L43" s="7">
        <f t="shared" si="4"/>
        <v>0</v>
      </c>
    </row>
    <row r="44" spans="3:12" x14ac:dyDescent="0.25">
      <c r="C44" s="3">
        <v>4000</v>
      </c>
      <c r="D44" s="3">
        <v>80</v>
      </c>
      <c r="F44" s="5"/>
      <c r="G44" s="6"/>
      <c r="H44" s="7">
        <f t="shared" si="2"/>
        <v>0</v>
      </c>
      <c r="I44" s="8"/>
      <c r="J44" s="6"/>
      <c r="K44" s="7">
        <f t="shared" si="3"/>
        <v>0</v>
      </c>
      <c r="L44" s="7">
        <f t="shared" si="4"/>
        <v>0</v>
      </c>
    </row>
    <row r="45" spans="3:12" x14ac:dyDescent="0.25">
      <c r="C45" s="3">
        <v>4500</v>
      </c>
      <c r="D45" s="3">
        <v>90</v>
      </c>
      <c r="F45" s="5"/>
      <c r="G45" s="6"/>
      <c r="H45" s="7">
        <f t="shared" si="2"/>
        <v>0</v>
      </c>
      <c r="I45" s="8"/>
      <c r="J45" s="6"/>
      <c r="K45" s="7">
        <f t="shared" si="3"/>
        <v>0</v>
      </c>
      <c r="L45" s="7">
        <f t="shared" si="4"/>
        <v>0</v>
      </c>
    </row>
    <row r="46" spans="3:12" x14ac:dyDescent="0.25">
      <c r="C46" s="3">
        <v>5000</v>
      </c>
      <c r="D46" s="3">
        <v>100</v>
      </c>
      <c r="F46" s="5"/>
      <c r="G46" s="6"/>
      <c r="H46" s="7">
        <f t="shared" si="2"/>
        <v>0</v>
      </c>
      <c r="I46" s="8"/>
      <c r="J46" s="6"/>
      <c r="K46" s="7">
        <f t="shared" si="3"/>
        <v>0</v>
      </c>
      <c r="L46" s="7">
        <f t="shared" si="4"/>
        <v>0</v>
      </c>
    </row>
    <row r="47" spans="3:12" x14ac:dyDescent="0.25">
      <c r="C47" s="3">
        <v>5500</v>
      </c>
      <c r="D47" s="3">
        <v>110</v>
      </c>
      <c r="F47" s="5"/>
      <c r="G47" s="6"/>
      <c r="H47" s="7">
        <f t="shared" si="2"/>
        <v>0</v>
      </c>
      <c r="I47" s="8"/>
      <c r="J47" s="6"/>
      <c r="K47" s="7">
        <f t="shared" si="3"/>
        <v>0</v>
      </c>
      <c r="L47" s="7">
        <f t="shared" si="4"/>
        <v>0</v>
      </c>
    </row>
    <row r="48" spans="3:12" x14ac:dyDescent="0.25">
      <c r="C48" s="3">
        <v>6000</v>
      </c>
      <c r="D48" s="3">
        <v>120</v>
      </c>
      <c r="F48" s="5"/>
      <c r="G48" s="6"/>
      <c r="H48" s="7">
        <f t="shared" si="2"/>
        <v>0</v>
      </c>
      <c r="I48" s="8"/>
      <c r="J48" s="6"/>
      <c r="K48" s="7">
        <f t="shared" si="3"/>
        <v>0</v>
      </c>
      <c r="L48" s="7">
        <f t="shared" si="4"/>
        <v>0</v>
      </c>
    </row>
    <row r="49" spans="3:12" x14ac:dyDescent="0.25">
      <c r="C49" s="3">
        <v>6500</v>
      </c>
      <c r="D49" s="3">
        <v>130</v>
      </c>
      <c r="F49" s="5"/>
      <c r="G49" s="6"/>
      <c r="H49" s="7">
        <f t="shared" si="2"/>
        <v>0</v>
      </c>
      <c r="I49" s="8"/>
      <c r="J49" s="6"/>
      <c r="K49" s="7">
        <f t="shared" si="3"/>
        <v>0</v>
      </c>
      <c r="L49" s="7">
        <f t="shared" si="4"/>
        <v>0</v>
      </c>
    </row>
    <row r="50" spans="3:12" x14ac:dyDescent="0.25">
      <c r="C50" s="3">
        <v>7000</v>
      </c>
      <c r="D50" s="3">
        <v>140</v>
      </c>
      <c r="F50" s="5"/>
      <c r="G50" s="6"/>
      <c r="H50" s="7">
        <f t="shared" si="2"/>
        <v>0</v>
      </c>
      <c r="I50" s="8"/>
      <c r="J50" s="6"/>
      <c r="K50" s="7">
        <f t="shared" si="3"/>
        <v>0</v>
      </c>
      <c r="L50" s="7">
        <f t="shared" si="4"/>
        <v>0</v>
      </c>
    </row>
    <row r="51" spans="3:12" x14ac:dyDescent="0.25">
      <c r="C51" s="3">
        <v>7500</v>
      </c>
      <c r="D51" s="3">
        <v>150</v>
      </c>
      <c r="F51" s="5"/>
      <c r="G51" s="6"/>
      <c r="H51" s="7">
        <f t="shared" si="2"/>
        <v>0</v>
      </c>
      <c r="I51" s="8"/>
      <c r="J51" s="6"/>
      <c r="K51" s="7">
        <f t="shared" si="3"/>
        <v>0</v>
      </c>
      <c r="L51" s="7">
        <f t="shared" si="4"/>
        <v>0</v>
      </c>
    </row>
    <row r="52" spans="3:12" x14ac:dyDescent="0.25">
      <c r="C52" s="3">
        <v>8000</v>
      </c>
      <c r="D52" s="3">
        <v>160</v>
      </c>
      <c r="F52" s="5"/>
      <c r="G52" s="6"/>
      <c r="H52" s="7">
        <f t="shared" si="2"/>
        <v>0</v>
      </c>
      <c r="I52" s="8"/>
      <c r="J52" s="6"/>
      <c r="K52" s="7">
        <f t="shared" si="3"/>
        <v>0</v>
      </c>
      <c r="L52" s="7">
        <f t="shared" si="4"/>
        <v>0</v>
      </c>
    </row>
    <row r="53" spans="3:12" x14ac:dyDescent="0.25">
      <c r="C53" s="3">
        <v>8500</v>
      </c>
      <c r="D53" s="3">
        <v>170</v>
      </c>
      <c r="F53" s="5"/>
      <c r="G53" s="6"/>
      <c r="H53" s="7">
        <f t="shared" si="2"/>
        <v>0</v>
      </c>
      <c r="I53" s="8"/>
      <c r="J53" s="6"/>
      <c r="K53" s="7">
        <f t="shared" si="3"/>
        <v>0</v>
      </c>
      <c r="L53" s="7">
        <f t="shared" si="4"/>
        <v>0</v>
      </c>
    </row>
    <row r="54" spans="3:12" x14ac:dyDescent="0.25">
      <c r="C54" s="3">
        <v>9000</v>
      </c>
      <c r="D54" s="3">
        <v>180</v>
      </c>
      <c r="F54" s="5"/>
      <c r="G54" s="6"/>
      <c r="H54" s="7">
        <f t="shared" si="2"/>
        <v>0</v>
      </c>
      <c r="I54" s="8"/>
      <c r="J54" s="6"/>
      <c r="K54" s="7">
        <f t="shared" si="3"/>
        <v>0</v>
      </c>
      <c r="L54" s="7">
        <f t="shared" si="4"/>
        <v>0</v>
      </c>
    </row>
    <row r="55" spans="3:12" x14ac:dyDescent="0.25">
      <c r="C55" s="3">
        <v>9500</v>
      </c>
      <c r="D55" s="3">
        <v>190</v>
      </c>
      <c r="F55" s="5"/>
      <c r="G55" s="6"/>
      <c r="H55" s="7">
        <f t="shared" si="2"/>
        <v>0</v>
      </c>
      <c r="I55" s="8"/>
      <c r="J55" s="6"/>
      <c r="K55" s="7">
        <f t="shared" si="3"/>
        <v>0</v>
      </c>
      <c r="L55" s="7">
        <f t="shared" si="4"/>
        <v>0</v>
      </c>
    </row>
    <row r="56" spans="3:12" x14ac:dyDescent="0.25">
      <c r="C56" s="3">
        <v>10000</v>
      </c>
      <c r="D56" s="3">
        <v>200</v>
      </c>
      <c r="F56" s="5"/>
      <c r="G56" s="6"/>
      <c r="H56" s="7">
        <f t="shared" si="2"/>
        <v>0</v>
      </c>
      <c r="I56" s="8"/>
      <c r="J56" s="6"/>
      <c r="K56" s="7">
        <f t="shared" si="3"/>
        <v>0</v>
      </c>
      <c r="L56" s="7">
        <f t="shared" si="4"/>
        <v>0</v>
      </c>
    </row>
    <row r="57" spans="3:12" x14ac:dyDescent="0.25">
      <c r="C57" s="3">
        <v>10500</v>
      </c>
      <c r="D57" s="3">
        <v>210</v>
      </c>
      <c r="F57" s="5"/>
      <c r="G57" s="6"/>
      <c r="H57" s="7">
        <f t="shared" si="2"/>
        <v>0</v>
      </c>
      <c r="I57" s="8"/>
      <c r="J57" s="6"/>
      <c r="K57" s="7">
        <f t="shared" si="3"/>
        <v>0</v>
      </c>
      <c r="L57" s="7">
        <f t="shared" si="4"/>
        <v>0</v>
      </c>
    </row>
    <row r="58" spans="3:12" x14ac:dyDescent="0.25">
      <c r="C58" s="3">
        <v>11000</v>
      </c>
      <c r="D58" s="3">
        <v>220</v>
      </c>
      <c r="F58" s="5"/>
      <c r="G58" s="6"/>
      <c r="H58" s="7">
        <f t="shared" si="2"/>
        <v>0</v>
      </c>
      <c r="I58" s="8"/>
      <c r="J58" s="6"/>
      <c r="K58" s="7">
        <f t="shared" si="3"/>
        <v>0</v>
      </c>
      <c r="L58" s="7">
        <f t="shared" si="4"/>
        <v>0</v>
      </c>
    </row>
    <row r="59" spans="3:12" x14ac:dyDescent="0.25">
      <c r="C59" s="3">
        <v>11500</v>
      </c>
      <c r="D59" s="3">
        <v>230</v>
      </c>
      <c r="F59" s="5"/>
      <c r="G59" s="6"/>
      <c r="H59" s="7">
        <f t="shared" si="2"/>
        <v>0</v>
      </c>
      <c r="I59" s="8"/>
      <c r="J59" s="6"/>
      <c r="K59" s="7">
        <f t="shared" si="3"/>
        <v>0</v>
      </c>
      <c r="L59" s="7">
        <f t="shared" si="4"/>
        <v>0</v>
      </c>
    </row>
    <row r="60" spans="3:12" x14ac:dyDescent="0.25">
      <c r="C60" s="3">
        <v>12000</v>
      </c>
      <c r="D60" s="3">
        <v>240</v>
      </c>
      <c r="F60" s="5"/>
      <c r="G60" s="6"/>
      <c r="H60" s="7">
        <f t="shared" si="2"/>
        <v>0</v>
      </c>
      <c r="I60" s="8"/>
      <c r="J60" s="6"/>
      <c r="K60" s="7">
        <f t="shared" si="3"/>
        <v>0</v>
      </c>
      <c r="L60" s="7">
        <f t="shared" si="4"/>
        <v>0</v>
      </c>
    </row>
    <row r="61" spans="3:12" x14ac:dyDescent="0.25">
      <c r="C61" s="3">
        <v>12500</v>
      </c>
      <c r="D61" s="3">
        <v>250</v>
      </c>
      <c r="F61" s="5"/>
      <c r="G61" s="6"/>
      <c r="H61" s="7">
        <f t="shared" si="2"/>
        <v>0</v>
      </c>
      <c r="I61" s="8"/>
      <c r="J61" s="6"/>
      <c r="K61" s="7">
        <f t="shared" si="3"/>
        <v>0</v>
      </c>
      <c r="L61" s="7">
        <f t="shared" si="4"/>
        <v>0</v>
      </c>
    </row>
    <row r="63" spans="3:12" x14ac:dyDescent="0.25">
      <c r="C63" s="24" t="s">
        <v>67</v>
      </c>
      <c r="D63" s="24"/>
      <c r="F63" s="24" t="s">
        <v>1</v>
      </c>
      <c r="G63" s="24"/>
      <c r="H63" s="24"/>
      <c r="I63" s="24"/>
      <c r="J63" s="24"/>
      <c r="K63" s="24"/>
      <c r="L63" s="24"/>
    </row>
    <row r="64" spans="3:12" x14ac:dyDescent="0.25">
      <c r="C64" s="3" t="s">
        <v>2</v>
      </c>
      <c r="D64" s="3" t="s">
        <v>69</v>
      </c>
      <c r="F64" s="3" t="s">
        <v>3</v>
      </c>
      <c r="G64" s="3" t="s">
        <v>4</v>
      </c>
      <c r="H64" s="3" t="s">
        <v>5</v>
      </c>
      <c r="I64" s="3" t="s">
        <v>6</v>
      </c>
      <c r="J64" s="3" t="s">
        <v>4</v>
      </c>
      <c r="K64" s="3" t="s">
        <v>7</v>
      </c>
      <c r="L64" s="3" t="s">
        <v>5</v>
      </c>
    </row>
    <row r="65" spans="3:12" x14ac:dyDescent="0.25">
      <c r="C65" s="3">
        <v>0</v>
      </c>
      <c r="D65" s="3">
        <v>0</v>
      </c>
      <c r="F65" s="5">
        <v>1.1583300000000001</v>
      </c>
      <c r="G65" s="6">
        <v>3.1000000000000001E-5</v>
      </c>
      <c r="H65" s="7">
        <f>G65*100000*F65</f>
        <v>3.5908230000000003</v>
      </c>
      <c r="I65" s="8"/>
      <c r="J65" s="6"/>
      <c r="K65" s="7">
        <f>I65*100000</f>
        <v>0</v>
      </c>
      <c r="L65" s="7">
        <f>I65*J65*100000</f>
        <v>0</v>
      </c>
    </row>
    <row r="66" spans="3:12" x14ac:dyDescent="0.25">
      <c r="C66" s="3">
        <v>250</v>
      </c>
      <c r="D66" s="3">
        <v>5</v>
      </c>
      <c r="F66" s="5">
        <v>1.1530199999999999</v>
      </c>
      <c r="G66" s="6">
        <v>3.1000000000000001E-5</v>
      </c>
      <c r="H66" s="7">
        <f t="shared" ref="H66:H91" si="5">G66*100000*F66</f>
        <v>3.5743619999999998</v>
      </c>
      <c r="I66" s="8"/>
      <c r="J66" s="6"/>
      <c r="K66" s="7">
        <f t="shared" ref="K66:K91" si="6">I66*100000</f>
        <v>0</v>
      </c>
      <c r="L66" s="7">
        <f t="shared" ref="L66:L91" si="7">I66*J66*100000</f>
        <v>0</v>
      </c>
    </row>
    <row r="67" spans="3:12" x14ac:dyDescent="0.25">
      <c r="C67" s="3">
        <v>500</v>
      </c>
      <c r="D67" s="3">
        <v>10</v>
      </c>
      <c r="F67" s="5">
        <v>1.1476599999999999</v>
      </c>
      <c r="G67" s="6">
        <v>3.3000000000000003E-5</v>
      </c>
      <c r="H67" s="7">
        <f t="shared" si="5"/>
        <v>3.7872780000000001</v>
      </c>
      <c r="I67" s="8"/>
      <c r="J67" s="6"/>
      <c r="K67" s="7">
        <f t="shared" si="6"/>
        <v>0</v>
      </c>
      <c r="L67" s="7">
        <f t="shared" si="7"/>
        <v>0</v>
      </c>
    </row>
    <row r="68" spans="3:12" x14ac:dyDescent="0.25">
      <c r="C68" s="3">
        <v>1000</v>
      </c>
      <c r="D68" s="3">
        <v>20</v>
      </c>
      <c r="F68" s="5">
        <v>1.1358200000000001</v>
      </c>
      <c r="G68" s="6">
        <v>3.4E-5</v>
      </c>
      <c r="H68" s="7">
        <f t="shared" si="5"/>
        <v>3.8617880000000002</v>
      </c>
      <c r="I68" s="8"/>
      <c r="J68" s="6"/>
      <c r="K68" s="7">
        <f t="shared" si="6"/>
        <v>0</v>
      </c>
      <c r="L68" s="7">
        <f t="shared" si="7"/>
        <v>0</v>
      </c>
    </row>
    <row r="69" spans="3:12" x14ac:dyDescent="0.25">
      <c r="C69" s="3">
        <v>1500</v>
      </c>
      <c r="D69" s="3">
        <v>30</v>
      </c>
      <c r="F69" s="5">
        <v>1.1230100000000001</v>
      </c>
      <c r="G69" s="6">
        <v>3.4999999999999997E-5</v>
      </c>
      <c r="H69" s="7">
        <f t="shared" si="5"/>
        <v>3.9305349999999999</v>
      </c>
      <c r="I69" s="8"/>
      <c r="J69" s="6"/>
      <c r="K69" s="7">
        <f t="shared" si="6"/>
        <v>0</v>
      </c>
      <c r="L69" s="7">
        <f t="shared" si="7"/>
        <v>0</v>
      </c>
    </row>
    <row r="70" spans="3:12" x14ac:dyDescent="0.25">
      <c r="C70" s="3">
        <v>2000</v>
      </c>
      <c r="D70" s="3">
        <v>40</v>
      </c>
      <c r="F70" s="5">
        <v>1.1093500000000001</v>
      </c>
      <c r="G70" s="6">
        <v>3.6999999999999998E-5</v>
      </c>
      <c r="H70" s="7">
        <f t="shared" si="5"/>
        <v>4.1045949999999998</v>
      </c>
      <c r="I70" s="8"/>
      <c r="J70" s="6"/>
      <c r="K70" s="7">
        <f t="shared" si="6"/>
        <v>0</v>
      </c>
      <c r="L70" s="7">
        <f t="shared" si="7"/>
        <v>0</v>
      </c>
    </row>
    <row r="71" spans="3:12" x14ac:dyDescent="0.25">
      <c r="C71" s="3">
        <v>2500</v>
      </c>
      <c r="D71" s="3">
        <v>50</v>
      </c>
      <c r="F71" s="5">
        <v>1.09491</v>
      </c>
      <c r="G71" s="6">
        <v>3.8000000000000002E-5</v>
      </c>
      <c r="H71" s="7">
        <f t="shared" si="5"/>
        <v>4.1606580000000006</v>
      </c>
      <c r="I71" s="8"/>
      <c r="J71" s="6"/>
      <c r="K71" s="7">
        <f t="shared" si="6"/>
        <v>0</v>
      </c>
      <c r="L71" s="7">
        <f t="shared" si="7"/>
        <v>0</v>
      </c>
    </row>
    <row r="72" spans="3:12" x14ac:dyDescent="0.25">
      <c r="C72" s="3">
        <v>3000</v>
      </c>
      <c r="D72" s="3">
        <v>60</v>
      </c>
      <c r="F72" s="5">
        <v>1.0799099999999999</v>
      </c>
      <c r="G72" s="6">
        <v>4.1E-5</v>
      </c>
      <c r="H72" s="7">
        <f t="shared" si="5"/>
        <v>4.427630999999999</v>
      </c>
      <c r="I72" s="8"/>
      <c r="J72" s="6"/>
      <c r="K72" s="7">
        <f t="shared" si="6"/>
        <v>0</v>
      </c>
      <c r="L72" s="7">
        <f t="shared" si="7"/>
        <v>0</v>
      </c>
    </row>
    <row r="73" spans="3:12" x14ac:dyDescent="0.25">
      <c r="C73" s="3">
        <v>3500</v>
      </c>
      <c r="D73" s="3">
        <v>70</v>
      </c>
      <c r="F73" s="5">
        <v>1.06433</v>
      </c>
      <c r="G73" s="6">
        <v>4.0000000000000003E-5</v>
      </c>
      <c r="H73" s="7">
        <f t="shared" si="5"/>
        <v>4.25732</v>
      </c>
      <c r="I73" s="8"/>
      <c r="J73" s="6"/>
      <c r="K73" s="7">
        <f t="shared" si="6"/>
        <v>0</v>
      </c>
      <c r="L73" s="7">
        <f t="shared" si="7"/>
        <v>0</v>
      </c>
    </row>
    <row r="74" spans="3:12" x14ac:dyDescent="0.25">
      <c r="C74" s="3">
        <v>4000</v>
      </c>
      <c r="D74" s="3">
        <v>80</v>
      </c>
      <c r="F74" s="5">
        <v>1.0483199999999999</v>
      </c>
      <c r="G74" s="6">
        <v>4.3999999999999999E-5</v>
      </c>
      <c r="H74" s="7">
        <f t="shared" si="5"/>
        <v>4.6126079999999989</v>
      </c>
      <c r="I74" s="8"/>
      <c r="J74" s="6"/>
      <c r="K74" s="7">
        <f t="shared" si="6"/>
        <v>0</v>
      </c>
      <c r="L74" s="7">
        <f t="shared" si="7"/>
        <v>0</v>
      </c>
    </row>
    <row r="75" spans="3:12" x14ac:dyDescent="0.25">
      <c r="C75" s="3">
        <v>4500</v>
      </c>
      <c r="D75" s="3">
        <v>90</v>
      </c>
      <c r="F75" s="5">
        <v>1.0319100000000001</v>
      </c>
      <c r="G75" s="6">
        <v>4.5000000000000003E-5</v>
      </c>
      <c r="H75" s="7">
        <f t="shared" si="5"/>
        <v>4.6435950000000004</v>
      </c>
      <c r="I75" s="8"/>
      <c r="J75" s="6"/>
      <c r="K75" s="7">
        <f t="shared" si="6"/>
        <v>0</v>
      </c>
      <c r="L75" s="7">
        <f t="shared" si="7"/>
        <v>0</v>
      </c>
    </row>
    <row r="76" spans="3:12" x14ac:dyDescent="0.25">
      <c r="C76" s="3">
        <v>5000</v>
      </c>
      <c r="D76" s="3">
        <v>100</v>
      </c>
      <c r="F76" s="5">
        <v>1.01552</v>
      </c>
      <c r="G76" s="6">
        <v>4.6E-5</v>
      </c>
      <c r="H76" s="7">
        <f t="shared" si="5"/>
        <v>4.6713919999999991</v>
      </c>
      <c r="I76" s="8"/>
      <c r="J76" s="6"/>
      <c r="K76" s="7">
        <f t="shared" si="6"/>
        <v>0</v>
      </c>
      <c r="L76" s="7">
        <f t="shared" si="7"/>
        <v>0</v>
      </c>
    </row>
    <row r="77" spans="3:12" x14ac:dyDescent="0.25">
      <c r="C77" s="3">
        <v>5500</v>
      </c>
      <c r="D77" s="3">
        <v>110</v>
      </c>
      <c r="F77" s="5">
        <v>0.998977</v>
      </c>
      <c r="G77" s="6">
        <v>4.8000000000000001E-5</v>
      </c>
      <c r="H77" s="7">
        <f t="shared" si="5"/>
        <v>4.7950895999999998</v>
      </c>
      <c r="I77" s="8"/>
      <c r="J77" s="6"/>
      <c r="K77" s="7">
        <f t="shared" si="6"/>
        <v>0</v>
      </c>
      <c r="L77" s="7">
        <f t="shared" si="7"/>
        <v>0</v>
      </c>
    </row>
    <row r="78" spans="3:12" x14ac:dyDescent="0.25">
      <c r="C78" s="3">
        <v>6000</v>
      </c>
      <c r="D78" s="3">
        <v>120</v>
      </c>
      <c r="F78" s="5">
        <v>0.98237799999999997</v>
      </c>
      <c r="G78" s="6">
        <v>5.0000000000000002E-5</v>
      </c>
      <c r="H78" s="7">
        <f t="shared" si="5"/>
        <v>4.9118899999999996</v>
      </c>
      <c r="I78" s="8"/>
      <c r="J78" s="6"/>
      <c r="K78" s="7">
        <f t="shared" si="6"/>
        <v>0</v>
      </c>
      <c r="L78" s="7">
        <f t="shared" si="7"/>
        <v>0</v>
      </c>
    </row>
    <row r="79" spans="3:12" x14ac:dyDescent="0.25">
      <c r="C79" s="3">
        <v>6500</v>
      </c>
      <c r="D79" s="3">
        <v>130</v>
      </c>
      <c r="F79" s="5">
        <v>0.96589800000000003</v>
      </c>
      <c r="G79" s="6">
        <v>5.3000000000000001E-5</v>
      </c>
      <c r="H79" s="7">
        <f t="shared" si="5"/>
        <v>5.1192593999999998</v>
      </c>
      <c r="I79" s="8"/>
      <c r="J79" s="6"/>
      <c r="K79" s="7">
        <f t="shared" si="6"/>
        <v>0</v>
      </c>
      <c r="L79" s="7">
        <f t="shared" si="7"/>
        <v>0</v>
      </c>
    </row>
    <row r="80" spans="3:12" x14ac:dyDescent="0.25">
      <c r="C80" s="3">
        <v>7000</v>
      </c>
      <c r="D80" s="3">
        <v>140</v>
      </c>
      <c r="F80" s="5">
        <v>0.949542</v>
      </c>
      <c r="G80" s="6">
        <v>5.3999999999999998E-5</v>
      </c>
      <c r="H80" s="7">
        <f t="shared" si="5"/>
        <v>5.1275267999999992</v>
      </c>
      <c r="I80" s="8"/>
      <c r="J80" s="6"/>
      <c r="K80" s="7">
        <f t="shared" si="6"/>
        <v>0</v>
      </c>
      <c r="L80" s="7">
        <f t="shared" si="7"/>
        <v>0</v>
      </c>
    </row>
    <row r="81" spans="3:12" x14ac:dyDescent="0.25">
      <c r="C81" s="3">
        <v>7500</v>
      </c>
      <c r="D81" s="3">
        <v>150</v>
      </c>
      <c r="F81" s="5">
        <v>0.93334300000000003</v>
      </c>
      <c r="G81" s="6">
        <v>5.5999999999999999E-5</v>
      </c>
      <c r="H81" s="7">
        <f t="shared" si="5"/>
        <v>5.2267207999999998</v>
      </c>
      <c r="I81" s="8"/>
      <c r="J81" s="6"/>
      <c r="K81" s="7">
        <f t="shared" si="6"/>
        <v>0</v>
      </c>
      <c r="L81" s="7">
        <f t="shared" si="7"/>
        <v>0</v>
      </c>
    </row>
    <row r="82" spans="3:12" x14ac:dyDescent="0.25">
      <c r="C82" s="3">
        <v>8000</v>
      </c>
      <c r="D82" s="3">
        <v>160</v>
      </c>
      <c r="F82" s="5">
        <v>0.91748200000000002</v>
      </c>
      <c r="G82" s="6">
        <v>5.8E-5</v>
      </c>
      <c r="H82" s="7">
        <f t="shared" si="5"/>
        <v>5.3213955999999998</v>
      </c>
      <c r="I82" s="8"/>
      <c r="J82" s="6"/>
      <c r="K82" s="7">
        <f t="shared" si="6"/>
        <v>0</v>
      </c>
      <c r="L82" s="7">
        <f t="shared" si="7"/>
        <v>0</v>
      </c>
    </row>
    <row r="83" spans="3:12" x14ac:dyDescent="0.25">
      <c r="C83" s="3">
        <v>8500</v>
      </c>
      <c r="D83" s="3">
        <v>170</v>
      </c>
      <c r="F83" s="5">
        <v>0.90184500000000001</v>
      </c>
      <c r="G83" s="6">
        <v>5.8999999999999998E-5</v>
      </c>
      <c r="H83" s="7">
        <f t="shared" si="5"/>
        <v>5.3208854999999993</v>
      </c>
      <c r="I83" s="8"/>
      <c r="J83" s="6"/>
      <c r="K83" s="7">
        <f t="shared" si="6"/>
        <v>0</v>
      </c>
      <c r="L83" s="7">
        <f t="shared" si="7"/>
        <v>0</v>
      </c>
    </row>
    <row r="84" spans="3:12" x14ac:dyDescent="0.25">
      <c r="C84" s="3">
        <v>9000</v>
      </c>
      <c r="D84" s="3">
        <v>180</v>
      </c>
      <c r="F84" s="5">
        <v>0.88657600000000003</v>
      </c>
      <c r="G84" s="6">
        <v>6.0000000000000002E-5</v>
      </c>
      <c r="H84" s="7">
        <f t="shared" si="5"/>
        <v>5.3194560000000006</v>
      </c>
      <c r="I84" s="8"/>
      <c r="J84" s="6"/>
      <c r="K84" s="7">
        <f t="shared" si="6"/>
        <v>0</v>
      </c>
      <c r="L84" s="7">
        <f t="shared" si="7"/>
        <v>0</v>
      </c>
    </row>
    <row r="85" spans="3:12" x14ac:dyDescent="0.25">
      <c r="C85" s="3">
        <v>9500</v>
      </c>
      <c r="D85" s="3">
        <v>190</v>
      </c>
      <c r="F85" s="5">
        <v>0.87167300000000003</v>
      </c>
      <c r="G85" s="6">
        <v>6.2000000000000003E-5</v>
      </c>
      <c r="H85" s="7">
        <f t="shared" si="5"/>
        <v>5.4043726000000003</v>
      </c>
      <c r="I85" s="8"/>
      <c r="J85" s="6"/>
      <c r="K85" s="7">
        <f t="shared" si="6"/>
        <v>0</v>
      </c>
      <c r="L85" s="7">
        <f t="shared" si="7"/>
        <v>0</v>
      </c>
    </row>
    <row r="86" spans="3:12" x14ac:dyDescent="0.25">
      <c r="C86" s="3">
        <v>10000</v>
      </c>
      <c r="D86" s="3">
        <v>200</v>
      </c>
      <c r="F86" s="5">
        <v>0.85703700000000005</v>
      </c>
      <c r="G86" s="6">
        <v>6.3999999999999997E-5</v>
      </c>
      <c r="H86" s="7">
        <f t="shared" si="5"/>
        <v>5.4850367999999996</v>
      </c>
      <c r="I86" s="8"/>
      <c r="J86" s="6"/>
      <c r="K86" s="7">
        <f t="shared" si="6"/>
        <v>0</v>
      </c>
      <c r="L86" s="7">
        <f t="shared" si="7"/>
        <v>0</v>
      </c>
    </row>
    <row r="87" spans="3:12" x14ac:dyDescent="0.25">
      <c r="C87" s="3">
        <v>10500</v>
      </c>
      <c r="D87" s="3">
        <v>210</v>
      </c>
      <c r="F87" s="5">
        <v>0.84294400000000003</v>
      </c>
      <c r="G87" s="6">
        <v>6.4999999999999994E-5</v>
      </c>
      <c r="H87" s="7">
        <f t="shared" si="5"/>
        <v>5.4791359999999996</v>
      </c>
      <c r="I87" s="8"/>
      <c r="J87" s="6"/>
      <c r="K87" s="7">
        <f t="shared" si="6"/>
        <v>0</v>
      </c>
      <c r="L87" s="7">
        <f t="shared" si="7"/>
        <v>0</v>
      </c>
    </row>
    <row r="88" spans="3:12" x14ac:dyDescent="0.25">
      <c r="C88" s="3">
        <v>11000</v>
      </c>
      <c r="D88" s="3">
        <v>220</v>
      </c>
      <c r="F88" s="5">
        <v>0.82920400000000005</v>
      </c>
      <c r="G88" s="6">
        <v>6.4999999999999994E-5</v>
      </c>
      <c r="H88" s="7">
        <f t="shared" si="5"/>
        <v>5.3898259999999993</v>
      </c>
      <c r="I88" s="8"/>
      <c r="J88" s="6"/>
      <c r="K88" s="7">
        <f t="shared" si="6"/>
        <v>0</v>
      </c>
      <c r="L88" s="7">
        <f t="shared" si="7"/>
        <v>0</v>
      </c>
    </row>
    <row r="89" spans="3:12" x14ac:dyDescent="0.25">
      <c r="C89" s="3">
        <v>11500</v>
      </c>
      <c r="D89" s="3">
        <v>230</v>
      </c>
      <c r="F89" s="5">
        <v>0.81580600000000003</v>
      </c>
      <c r="G89" s="6">
        <v>6.7000000000000002E-5</v>
      </c>
      <c r="H89" s="7">
        <f t="shared" si="5"/>
        <v>5.4659002000000001</v>
      </c>
      <c r="I89" s="8"/>
      <c r="J89" s="6"/>
      <c r="K89" s="7">
        <f t="shared" si="6"/>
        <v>0</v>
      </c>
      <c r="L89" s="7">
        <f t="shared" si="7"/>
        <v>0</v>
      </c>
    </row>
    <row r="90" spans="3:12" x14ac:dyDescent="0.25">
      <c r="C90" s="3">
        <v>12000</v>
      </c>
      <c r="D90" s="3">
        <v>240</v>
      </c>
      <c r="F90" s="5">
        <v>0.80273000000000005</v>
      </c>
      <c r="G90" s="6">
        <v>6.8999999999999997E-5</v>
      </c>
      <c r="H90" s="7">
        <f t="shared" si="5"/>
        <v>5.538837</v>
      </c>
      <c r="I90" s="8"/>
      <c r="J90" s="6"/>
      <c r="K90" s="7">
        <f t="shared" si="6"/>
        <v>0</v>
      </c>
      <c r="L90" s="7">
        <f t="shared" si="7"/>
        <v>0</v>
      </c>
    </row>
    <row r="91" spans="3:12" x14ac:dyDescent="0.25">
      <c r="C91" s="3">
        <v>12500</v>
      </c>
      <c r="D91" s="3">
        <v>250</v>
      </c>
      <c r="F91" s="5">
        <v>0.79035200000000005</v>
      </c>
      <c r="G91" s="6">
        <v>6.9999999999999994E-5</v>
      </c>
      <c r="H91" s="7">
        <f t="shared" si="5"/>
        <v>5.532464</v>
      </c>
      <c r="I91" s="8"/>
      <c r="J91" s="6"/>
      <c r="K91" s="7">
        <f t="shared" si="6"/>
        <v>0</v>
      </c>
      <c r="L91" s="7">
        <f t="shared" si="7"/>
        <v>0</v>
      </c>
    </row>
    <row r="93" spans="3:12" x14ac:dyDescent="0.25">
      <c r="C93" s="24" t="s">
        <v>67</v>
      </c>
      <c r="D93" s="24"/>
      <c r="F93" s="24" t="s">
        <v>8</v>
      </c>
      <c r="G93" s="24"/>
      <c r="H93" s="24"/>
      <c r="I93" s="24"/>
      <c r="J93" s="24"/>
      <c r="K93" s="24"/>
      <c r="L93" s="24"/>
    </row>
    <row r="94" spans="3:12" x14ac:dyDescent="0.25">
      <c r="C94" s="3" t="s">
        <v>2</v>
      </c>
      <c r="D94" s="3" t="s">
        <v>69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4</v>
      </c>
      <c r="K94" s="3" t="s">
        <v>7</v>
      </c>
      <c r="L94" s="3" t="s">
        <v>5</v>
      </c>
    </row>
    <row r="95" spans="3:12" x14ac:dyDescent="0.25">
      <c r="C95" s="3">
        <v>0</v>
      </c>
      <c r="D95" s="3">
        <v>0</v>
      </c>
      <c r="F95" s="5">
        <v>1.15838</v>
      </c>
      <c r="G95" s="6">
        <v>3.1000000000000001E-5</v>
      </c>
      <c r="H95" s="7">
        <f>G95*100000*F95</f>
        <v>3.5909779999999998</v>
      </c>
      <c r="I95" s="8"/>
      <c r="J95" s="6"/>
      <c r="K95" s="7">
        <f>I95*100000</f>
        <v>0</v>
      </c>
      <c r="L95" s="7">
        <f>I95*J95*100000</f>
        <v>0</v>
      </c>
    </row>
    <row r="96" spans="3:12" x14ac:dyDescent="0.25">
      <c r="C96" s="3">
        <v>250</v>
      </c>
      <c r="D96" s="3">
        <v>5</v>
      </c>
      <c r="F96" s="5">
        <v>1.15306</v>
      </c>
      <c r="G96" s="6">
        <v>3.1999999999999999E-5</v>
      </c>
      <c r="H96" s="7">
        <f t="shared" ref="H96:H121" si="8">G96*100000*F96</f>
        <v>3.6897919999999997</v>
      </c>
      <c r="I96" s="8"/>
      <c r="J96" s="6"/>
      <c r="K96" s="7">
        <f t="shared" ref="K96:K121" si="9">I96*100000</f>
        <v>0</v>
      </c>
      <c r="L96" s="7">
        <f t="shared" ref="L96:L121" si="10">I96*J96*100000</f>
        <v>0</v>
      </c>
    </row>
    <row r="97" spans="3:12" x14ac:dyDescent="0.25">
      <c r="C97" s="3">
        <v>500</v>
      </c>
      <c r="D97" s="3">
        <v>10</v>
      </c>
      <c r="F97" s="5">
        <v>1.14761</v>
      </c>
      <c r="G97" s="6">
        <v>3.3000000000000003E-5</v>
      </c>
      <c r="H97" s="7">
        <f t="shared" si="8"/>
        <v>3.7871130000000002</v>
      </c>
      <c r="I97" s="8"/>
      <c r="J97" s="6"/>
      <c r="K97" s="7">
        <f t="shared" si="9"/>
        <v>0</v>
      </c>
      <c r="L97" s="7">
        <f t="shared" si="10"/>
        <v>0</v>
      </c>
    </row>
    <row r="98" spans="3:12" x14ac:dyDescent="0.25">
      <c r="C98" s="3">
        <v>1000</v>
      </c>
      <c r="D98" s="3">
        <v>20</v>
      </c>
      <c r="F98" s="5">
        <v>1.1357900000000001</v>
      </c>
      <c r="G98" s="6">
        <v>3.4999999999999997E-5</v>
      </c>
      <c r="H98" s="7">
        <f t="shared" si="8"/>
        <v>3.9752649999999998</v>
      </c>
      <c r="I98" s="8"/>
      <c r="J98" s="6"/>
      <c r="K98" s="7">
        <f t="shared" si="9"/>
        <v>0</v>
      </c>
      <c r="L98" s="7">
        <f t="shared" si="10"/>
        <v>0</v>
      </c>
    </row>
    <row r="99" spans="3:12" x14ac:dyDescent="0.25">
      <c r="C99" s="3">
        <v>1500</v>
      </c>
      <c r="D99" s="3">
        <v>30</v>
      </c>
      <c r="F99" s="5">
        <v>1.1229800000000001</v>
      </c>
      <c r="G99" s="6">
        <v>3.6000000000000001E-5</v>
      </c>
      <c r="H99" s="7">
        <f t="shared" si="8"/>
        <v>4.0427280000000003</v>
      </c>
      <c r="I99" s="8"/>
      <c r="J99" s="6"/>
      <c r="K99" s="7">
        <f t="shared" si="9"/>
        <v>0</v>
      </c>
      <c r="L99" s="7">
        <f t="shared" si="10"/>
        <v>0</v>
      </c>
    </row>
    <row r="100" spans="3:12" x14ac:dyDescent="0.25">
      <c r="C100" s="3">
        <v>2000</v>
      </c>
      <c r="D100" s="3">
        <v>40</v>
      </c>
      <c r="F100" s="5">
        <v>1.10934</v>
      </c>
      <c r="G100" s="6">
        <v>3.6999999999999998E-5</v>
      </c>
      <c r="H100" s="7">
        <f t="shared" si="8"/>
        <v>4.1045579999999999</v>
      </c>
      <c r="I100" s="8"/>
      <c r="J100" s="6"/>
      <c r="K100" s="7">
        <f t="shared" si="9"/>
        <v>0</v>
      </c>
      <c r="L100" s="7">
        <f t="shared" si="10"/>
        <v>0</v>
      </c>
    </row>
    <row r="101" spans="3:12" x14ac:dyDescent="0.25">
      <c r="C101" s="3">
        <v>2500</v>
      </c>
      <c r="D101" s="3">
        <v>50</v>
      </c>
      <c r="F101" s="5">
        <v>1.095</v>
      </c>
      <c r="G101" s="6">
        <v>3.8000000000000002E-5</v>
      </c>
      <c r="H101" s="7">
        <f t="shared" si="8"/>
        <v>4.1610000000000005</v>
      </c>
      <c r="I101" s="8"/>
      <c r="J101" s="6"/>
      <c r="K101" s="7">
        <f t="shared" si="9"/>
        <v>0</v>
      </c>
      <c r="L101" s="7">
        <f t="shared" si="10"/>
        <v>0</v>
      </c>
    </row>
    <row r="102" spans="3:12" x14ac:dyDescent="0.25">
      <c r="C102" s="3">
        <v>3000</v>
      </c>
      <c r="D102" s="3">
        <v>60</v>
      </c>
      <c r="F102" s="5">
        <v>1.0798300000000001</v>
      </c>
      <c r="G102" s="6">
        <v>4.0000000000000003E-5</v>
      </c>
      <c r="H102" s="7">
        <f t="shared" si="8"/>
        <v>4.3193200000000003</v>
      </c>
      <c r="I102" s="8"/>
      <c r="J102" s="6"/>
      <c r="K102" s="7">
        <f t="shared" si="9"/>
        <v>0</v>
      </c>
      <c r="L102" s="7">
        <f t="shared" si="10"/>
        <v>0</v>
      </c>
    </row>
    <row r="103" spans="3:12" x14ac:dyDescent="0.25">
      <c r="C103" s="3">
        <v>3500</v>
      </c>
      <c r="D103" s="3">
        <v>70</v>
      </c>
      <c r="F103" s="5">
        <v>1.0642400000000001</v>
      </c>
      <c r="G103" s="6">
        <v>4.1999999999999998E-5</v>
      </c>
      <c r="H103" s="7">
        <f t="shared" si="8"/>
        <v>4.4698080000000004</v>
      </c>
      <c r="I103" s="8"/>
      <c r="J103" s="6"/>
      <c r="K103" s="7">
        <f t="shared" si="9"/>
        <v>0</v>
      </c>
      <c r="L103" s="7">
        <f t="shared" si="10"/>
        <v>0</v>
      </c>
    </row>
    <row r="104" spans="3:12" x14ac:dyDescent="0.25">
      <c r="C104" s="3">
        <v>4000</v>
      </c>
      <c r="D104" s="3">
        <v>80</v>
      </c>
      <c r="F104" s="5">
        <v>1.04836</v>
      </c>
      <c r="G104" s="6">
        <v>4.3000000000000002E-5</v>
      </c>
      <c r="H104" s="7">
        <f t="shared" si="8"/>
        <v>4.5079479999999998</v>
      </c>
      <c r="I104" s="8"/>
      <c r="J104" s="6"/>
      <c r="K104" s="7">
        <f t="shared" si="9"/>
        <v>0</v>
      </c>
      <c r="L104" s="7">
        <f t="shared" si="10"/>
        <v>0</v>
      </c>
    </row>
    <row r="105" spans="3:12" x14ac:dyDescent="0.25">
      <c r="C105" s="3">
        <v>4500</v>
      </c>
      <c r="D105" s="3">
        <v>90</v>
      </c>
      <c r="F105" s="5">
        <v>1.0320100000000001</v>
      </c>
      <c r="G105" s="6">
        <v>4.5000000000000003E-5</v>
      </c>
      <c r="H105" s="7">
        <f t="shared" si="8"/>
        <v>4.6440450000000002</v>
      </c>
      <c r="I105" s="8"/>
      <c r="J105" s="6"/>
      <c r="K105" s="7">
        <f t="shared" si="9"/>
        <v>0</v>
      </c>
      <c r="L105" s="7">
        <f t="shared" si="10"/>
        <v>0</v>
      </c>
    </row>
    <row r="106" spans="3:12" x14ac:dyDescent="0.25">
      <c r="C106" s="3">
        <v>5000</v>
      </c>
      <c r="D106" s="3">
        <v>100</v>
      </c>
      <c r="F106" s="5">
        <v>1.0155400000000001</v>
      </c>
      <c r="G106" s="6">
        <v>4.6999999999999997E-5</v>
      </c>
      <c r="H106" s="7">
        <f t="shared" si="8"/>
        <v>4.7730379999999997</v>
      </c>
      <c r="I106" s="8"/>
      <c r="J106" s="6"/>
      <c r="K106" s="7">
        <f t="shared" si="9"/>
        <v>0</v>
      </c>
      <c r="L106" s="7">
        <f t="shared" si="10"/>
        <v>0</v>
      </c>
    </row>
    <row r="107" spans="3:12" x14ac:dyDescent="0.25">
      <c r="C107" s="3">
        <v>5500</v>
      </c>
      <c r="D107" s="3">
        <v>110</v>
      </c>
      <c r="F107" s="5">
        <v>0.99893699999999996</v>
      </c>
      <c r="G107" s="6">
        <v>5.0000000000000002E-5</v>
      </c>
      <c r="H107" s="7">
        <f t="shared" si="8"/>
        <v>4.9946849999999996</v>
      </c>
      <c r="I107" s="8"/>
      <c r="J107" s="6"/>
      <c r="K107" s="7">
        <f t="shared" si="9"/>
        <v>0</v>
      </c>
      <c r="L107" s="7">
        <f t="shared" si="10"/>
        <v>0</v>
      </c>
    </row>
    <row r="108" spans="3:12" x14ac:dyDescent="0.25">
      <c r="C108" s="3">
        <v>6000</v>
      </c>
      <c r="D108" s="3">
        <v>120</v>
      </c>
      <c r="F108" s="5">
        <v>0.98233499999999996</v>
      </c>
      <c r="G108" s="6">
        <v>4.8999999999999998E-5</v>
      </c>
      <c r="H108" s="7">
        <f t="shared" si="8"/>
        <v>4.8134414999999997</v>
      </c>
      <c r="I108" s="8"/>
      <c r="J108" s="6"/>
      <c r="K108" s="7">
        <f t="shared" si="9"/>
        <v>0</v>
      </c>
      <c r="L108" s="7">
        <f t="shared" si="10"/>
        <v>0</v>
      </c>
    </row>
    <row r="109" spans="3:12" x14ac:dyDescent="0.25">
      <c r="C109" s="3">
        <v>6500</v>
      </c>
      <c r="D109" s="3">
        <v>130</v>
      </c>
      <c r="F109" s="5">
        <v>0.96586700000000003</v>
      </c>
      <c r="G109" s="6">
        <v>5.1E-5</v>
      </c>
      <c r="H109" s="7">
        <f t="shared" si="8"/>
        <v>4.9259217</v>
      </c>
      <c r="I109" s="8"/>
      <c r="J109" s="6"/>
      <c r="K109" s="7">
        <f t="shared" si="9"/>
        <v>0</v>
      </c>
      <c r="L109" s="7">
        <f t="shared" si="10"/>
        <v>0</v>
      </c>
    </row>
    <row r="110" spans="3:12" x14ac:dyDescent="0.25">
      <c r="C110" s="3">
        <v>7000</v>
      </c>
      <c r="D110" s="3">
        <v>140</v>
      </c>
      <c r="F110" s="5">
        <v>0.94953299999999996</v>
      </c>
      <c r="G110" s="6">
        <v>5.3000000000000001E-5</v>
      </c>
      <c r="H110" s="7">
        <f t="shared" si="8"/>
        <v>5.0325248999999994</v>
      </c>
      <c r="I110" s="8"/>
      <c r="J110" s="6"/>
      <c r="K110" s="7">
        <f t="shared" si="9"/>
        <v>0</v>
      </c>
      <c r="L110" s="7">
        <f t="shared" si="10"/>
        <v>0</v>
      </c>
    </row>
    <row r="111" spans="3:12" x14ac:dyDescent="0.25">
      <c r="C111" s="3">
        <v>7500</v>
      </c>
      <c r="D111" s="3">
        <v>150</v>
      </c>
      <c r="F111" s="5">
        <v>0.93332000000000004</v>
      </c>
      <c r="G111" s="6">
        <v>5.5000000000000002E-5</v>
      </c>
      <c r="H111" s="7">
        <f t="shared" si="8"/>
        <v>5.1332599999999999</v>
      </c>
      <c r="I111" s="8"/>
      <c r="J111" s="6"/>
      <c r="K111" s="7">
        <f t="shared" si="9"/>
        <v>0</v>
      </c>
      <c r="L111" s="7">
        <f t="shared" si="10"/>
        <v>0</v>
      </c>
    </row>
    <row r="112" spans="3:12" x14ac:dyDescent="0.25">
      <c r="C112" s="3">
        <v>8000</v>
      </c>
      <c r="D112" s="3">
        <v>160</v>
      </c>
      <c r="F112" s="5">
        <v>0.91742199999999996</v>
      </c>
      <c r="G112" s="6">
        <v>5.8E-5</v>
      </c>
      <c r="H112" s="7">
        <f t="shared" si="8"/>
        <v>5.3210476</v>
      </c>
      <c r="I112" s="8"/>
      <c r="J112" s="6"/>
      <c r="K112" s="7">
        <f t="shared" si="9"/>
        <v>0</v>
      </c>
      <c r="L112" s="7">
        <f t="shared" si="10"/>
        <v>0</v>
      </c>
    </row>
    <row r="113" spans="3:12" x14ac:dyDescent="0.25">
      <c r="C113" s="3">
        <v>8500</v>
      </c>
      <c r="D113" s="3">
        <v>170</v>
      </c>
      <c r="F113" s="5">
        <v>0.90174200000000004</v>
      </c>
      <c r="G113" s="6">
        <v>5.8E-5</v>
      </c>
      <c r="H113" s="7">
        <f t="shared" si="8"/>
        <v>5.2301036000000005</v>
      </c>
      <c r="I113" s="8"/>
      <c r="J113" s="6"/>
      <c r="K113" s="7">
        <f t="shared" si="9"/>
        <v>0</v>
      </c>
      <c r="L113" s="7">
        <f t="shared" si="10"/>
        <v>0</v>
      </c>
    </row>
    <row r="114" spans="3:12" x14ac:dyDescent="0.25">
      <c r="C114" s="3">
        <v>9000</v>
      </c>
      <c r="D114" s="3">
        <v>180</v>
      </c>
      <c r="F114" s="5">
        <v>0.88649699999999998</v>
      </c>
      <c r="G114" s="6">
        <v>6.0999999999999999E-5</v>
      </c>
      <c r="H114" s="7">
        <f t="shared" si="8"/>
        <v>5.4076316999999996</v>
      </c>
      <c r="I114" s="8"/>
      <c r="J114" s="6"/>
      <c r="K114" s="7">
        <f t="shared" si="9"/>
        <v>0</v>
      </c>
      <c r="L114" s="7">
        <f t="shared" si="10"/>
        <v>0</v>
      </c>
    </row>
    <row r="115" spans="3:12" x14ac:dyDescent="0.25">
      <c r="C115" s="3">
        <v>9500</v>
      </c>
      <c r="D115" s="3">
        <v>190</v>
      </c>
      <c r="F115" s="5">
        <v>0.87166600000000005</v>
      </c>
      <c r="G115" s="6">
        <v>6.3E-5</v>
      </c>
      <c r="H115" s="7">
        <f t="shared" si="8"/>
        <v>5.4914958</v>
      </c>
      <c r="I115" s="8"/>
      <c r="J115" s="6"/>
      <c r="K115" s="7">
        <f t="shared" si="9"/>
        <v>0</v>
      </c>
      <c r="L115" s="7">
        <f t="shared" si="10"/>
        <v>0</v>
      </c>
    </row>
    <row r="116" spans="3:12" x14ac:dyDescent="0.25">
      <c r="C116" s="3">
        <v>10000</v>
      </c>
      <c r="D116" s="3">
        <v>200</v>
      </c>
      <c r="F116" s="5">
        <v>0.85705799999999999</v>
      </c>
      <c r="G116" s="6">
        <v>6.3E-5</v>
      </c>
      <c r="H116" s="7">
        <f t="shared" si="8"/>
        <v>5.3994653999999995</v>
      </c>
      <c r="I116" s="8"/>
      <c r="J116" s="6"/>
      <c r="K116" s="7">
        <f t="shared" si="9"/>
        <v>0</v>
      </c>
      <c r="L116" s="7">
        <f t="shared" si="10"/>
        <v>0</v>
      </c>
    </row>
    <row r="117" spans="3:12" x14ac:dyDescent="0.25">
      <c r="C117" s="3">
        <v>10500</v>
      </c>
      <c r="D117" s="3">
        <v>210</v>
      </c>
      <c r="F117" s="5">
        <v>0.84291499999999997</v>
      </c>
      <c r="G117" s="6">
        <v>6.4999999999999994E-5</v>
      </c>
      <c r="H117" s="7">
        <f t="shared" si="8"/>
        <v>5.4789474999999994</v>
      </c>
      <c r="I117" s="8"/>
      <c r="J117" s="6"/>
      <c r="K117" s="7">
        <f t="shared" si="9"/>
        <v>0</v>
      </c>
      <c r="L117" s="7">
        <f t="shared" si="10"/>
        <v>0</v>
      </c>
    </row>
    <row r="118" spans="3:12" x14ac:dyDescent="0.25">
      <c r="C118" s="3">
        <v>11000</v>
      </c>
      <c r="D118" s="3">
        <v>220</v>
      </c>
      <c r="F118" s="5">
        <v>0.82928599999999997</v>
      </c>
      <c r="G118" s="6">
        <v>6.7999999999999999E-5</v>
      </c>
      <c r="H118" s="7">
        <f t="shared" si="8"/>
        <v>5.6391447999999995</v>
      </c>
      <c r="I118" s="8"/>
      <c r="J118" s="6"/>
      <c r="K118" s="7">
        <f t="shared" si="9"/>
        <v>0</v>
      </c>
      <c r="L118" s="7">
        <f t="shared" si="10"/>
        <v>0</v>
      </c>
    </row>
    <row r="119" spans="3:12" x14ac:dyDescent="0.25">
      <c r="C119" s="3">
        <v>11500</v>
      </c>
      <c r="D119" s="3">
        <v>230</v>
      </c>
      <c r="F119" s="5">
        <v>0.81582600000000005</v>
      </c>
      <c r="G119" s="6">
        <v>6.7000000000000002E-5</v>
      </c>
      <c r="H119" s="7">
        <f t="shared" si="8"/>
        <v>5.4660342000000002</v>
      </c>
      <c r="I119" s="8"/>
      <c r="J119" s="6"/>
      <c r="K119" s="7">
        <f t="shared" si="9"/>
        <v>0</v>
      </c>
      <c r="L119" s="7">
        <f t="shared" si="10"/>
        <v>0</v>
      </c>
    </row>
    <row r="120" spans="3:12" x14ac:dyDescent="0.25">
      <c r="C120" s="3">
        <v>12000</v>
      </c>
      <c r="D120" s="3">
        <v>240</v>
      </c>
      <c r="F120" s="5">
        <v>0.802755</v>
      </c>
      <c r="G120" s="6">
        <v>6.7000000000000002E-5</v>
      </c>
      <c r="H120" s="7">
        <f t="shared" si="8"/>
        <v>5.3784584999999998</v>
      </c>
      <c r="I120" s="8"/>
      <c r="J120" s="6"/>
      <c r="K120" s="7">
        <f t="shared" si="9"/>
        <v>0</v>
      </c>
      <c r="L120" s="7">
        <f t="shared" si="10"/>
        <v>0</v>
      </c>
    </row>
    <row r="121" spans="3:12" x14ac:dyDescent="0.25">
      <c r="C121" s="3">
        <v>12500</v>
      </c>
      <c r="D121" s="3">
        <v>250</v>
      </c>
      <c r="F121" s="5">
        <v>0.79028799999999999</v>
      </c>
      <c r="G121" s="6">
        <v>7.1000000000000005E-5</v>
      </c>
      <c r="H121" s="7">
        <f t="shared" si="8"/>
        <v>5.6110448000000002</v>
      </c>
      <c r="I121" s="8"/>
      <c r="J121" s="6"/>
      <c r="K121" s="7">
        <f t="shared" si="9"/>
        <v>0</v>
      </c>
      <c r="L121" s="7">
        <f t="shared" si="10"/>
        <v>0</v>
      </c>
    </row>
  </sheetData>
  <mergeCells count="8">
    <mergeCell ref="C93:D93"/>
    <mergeCell ref="F93:L93"/>
    <mergeCell ref="C3:D3"/>
    <mergeCell ref="F3:L3"/>
    <mergeCell ref="C33:D33"/>
    <mergeCell ref="F33:L33"/>
    <mergeCell ref="C63:D63"/>
    <mergeCell ref="F63:L6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758F-AA75-4147-8E11-AF12FD5E499D}">
  <dimension ref="C2:R63"/>
  <sheetViews>
    <sheetView tabSelected="1" topLeftCell="A17" zoomScaleNormal="100" workbookViewId="0">
      <selection activeCell="S38" sqref="S38"/>
    </sheetView>
  </sheetViews>
  <sheetFormatPr defaultRowHeight="15" x14ac:dyDescent="0.25"/>
  <cols>
    <col min="1" max="2" width="9" style="2"/>
    <col min="3" max="3" width="9.25" style="2" customWidth="1"/>
    <col min="4" max="4" width="9.625" style="2" customWidth="1"/>
    <col min="5" max="5" width="9" style="2"/>
    <col min="6" max="6" width="10.625" style="2" customWidth="1"/>
    <col min="7" max="7" width="9.5" style="2" customWidth="1"/>
    <col min="8" max="8" width="10.875" style="2" customWidth="1"/>
    <col min="9" max="9" width="9" style="2"/>
    <col min="10" max="10" width="10" style="2" customWidth="1"/>
    <col min="11" max="11" width="10.5" style="2" customWidth="1"/>
    <col min="12" max="12" width="12.875" style="2" customWidth="1"/>
    <col min="13" max="15" width="9" style="2"/>
    <col min="16" max="16" width="8.75" style="2" customWidth="1"/>
    <col min="17" max="17" width="9.25" style="2" customWidth="1"/>
    <col min="18" max="18" width="9.5" style="2" customWidth="1"/>
    <col min="19" max="16384" width="9" style="2"/>
  </cols>
  <sheetData>
    <row r="2" spans="3:17" x14ac:dyDescent="0.25">
      <c r="C2" s="1" t="s">
        <v>81</v>
      </c>
    </row>
    <row r="3" spans="3:17" x14ac:dyDescent="0.25">
      <c r="C3" s="24" t="s">
        <v>67</v>
      </c>
      <c r="D3" s="24"/>
      <c r="F3" s="29" t="s">
        <v>82</v>
      </c>
      <c r="G3" s="29"/>
      <c r="H3" s="29"/>
      <c r="J3" s="29" t="s">
        <v>83</v>
      </c>
      <c r="K3" s="29"/>
      <c r="L3" s="29"/>
      <c r="N3" s="25" t="s">
        <v>9</v>
      </c>
      <c r="O3" s="23" t="s">
        <v>10</v>
      </c>
      <c r="Q3" s="1" t="s">
        <v>99</v>
      </c>
    </row>
    <row r="4" spans="3:17" x14ac:dyDescent="0.25">
      <c r="C4" s="3" t="s">
        <v>2</v>
      </c>
      <c r="D4" s="3" t="s">
        <v>69</v>
      </c>
      <c r="F4" s="3" t="s">
        <v>3</v>
      </c>
      <c r="G4" s="3" t="s">
        <v>4</v>
      </c>
      <c r="H4" s="3" t="s">
        <v>5</v>
      </c>
      <c r="J4" s="3" t="s">
        <v>3</v>
      </c>
      <c r="K4" s="3" t="s">
        <v>4</v>
      </c>
      <c r="L4" s="3" t="s">
        <v>5</v>
      </c>
      <c r="N4" s="25"/>
      <c r="O4" s="23"/>
      <c r="Q4" s="2" t="s">
        <v>100</v>
      </c>
    </row>
    <row r="5" spans="3:17" x14ac:dyDescent="0.25">
      <c r="C5" s="3">
        <v>0</v>
      </c>
      <c r="D5" s="3">
        <v>0</v>
      </c>
      <c r="F5" s="5">
        <v>1.119</v>
      </c>
      <c r="G5" s="6">
        <v>1.6000000000000001E-4</v>
      </c>
      <c r="H5" s="7">
        <f>G5*100000*F5</f>
        <v>17.904</v>
      </c>
      <c r="J5" s="5">
        <v>1.118601</v>
      </c>
      <c r="K5" s="8">
        <v>1.92E-4</v>
      </c>
      <c r="L5" s="7">
        <f>K5*100000</f>
        <v>19.2</v>
      </c>
      <c r="N5" s="7">
        <f>(1/F5-1/J5)*100000</f>
        <v>-31.876278012565873</v>
      </c>
      <c r="O5" s="7">
        <f>SQRT(1/J5^4*L5^2+1/F5^4*H5^2)*2</f>
        <v>41.947498230445532</v>
      </c>
      <c r="Q5" s="2" t="s">
        <v>101</v>
      </c>
    </row>
    <row r="6" spans="3:17" x14ac:dyDescent="0.25">
      <c r="C6" s="3">
        <v>250</v>
      </c>
      <c r="D6" s="3">
        <v>5</v>
      </c>
      <c r="F6" s="5">
        <v>1.1246499999999999</v>
      </c>
      <c r="G6" s="6">
        <v>1.6000000000000001E-4</v>
      </c>
      <c r="H6" s="7">
        <f t="shared" ref="H6:H16" si="0">G6*100000*F6</f>
        <v>17.994399999999999</v>
      </c>
      <c r="J6" s="5">
        <v>1.1243810000000001</v>
      </c>
      <c r="K6" s="8">
        <v>1.75E-4</v>
      </c>
      <c r="L6" s="7">
        <f t="shared" ref="L6:L16" si="1">K6*100000</f>
        <v>17.5</v>
      </c>
      <c r="N6" s="7">
        <f t="shared" ref="N6:N16" si="2">(1/F6-1/J6)*100000</f>
        <v>-21.272640180258762</v>
      </c>
      <c r="O6" s="7">
        <f t="shared" ref="O6:O16" si="3">SQRT(1/J6^4*L6^2+1/F6^4*H6^2)*2</f>
        <v>39.699332846630057</v>
      </c>
      <c r="Q6" s="2" t="s">
        <v>102</v>
      </c>
    </row>
    <row r="7" spans="3:17" x14ac:dyDescent="0.25">
      <c r="C7" s="3">
        <v>500</v>
      </c>
      <c r="D7" s="3">
        <v>10</v>
      </c>
      <c r="F7" s="5">
        <v>1.1297600000000001</v>
      </c>
      <c r="G7" s="6">
        <v>1.4999999999999999E-4</v>
      </c>
      <c r="H7" s="7">
        <f t="shared" si="0"/>
        <v>16.946400000000001</v>
      </c>
      <c r="J7" s="5">
        <v>1.1297330000000001</v>
      </c>
      <c r="K7" s="8">
        <v>1.63E-4</v>
      </c>
      <c r="L7" s="7">
        <f t="shared" si="1"/>
        <v>16.3</v>
      </c>
      <c r="N7" s="7">
        <f t="shared" si="2"/>
        <v>-2.1154450811189385</v>
      </c>
      <c r="O7" s="7">
        <f t="shared" si="3"/>
        <v>36.845061144915888</v>
      </c>
      <c r="Q7" s="2" t="s">
        <v>103</v>
      </c>
    </row>
    <row r="8" spans="3:17" x14ac:dyDescent="0.25">
      <c r="C8" s="3">
        <v>1000</v>
      </c>
      <c r="D8" s="3">
        <v>20</v>
      </c>
      <c r="F8" s="5">
        <v>1.139</v>
      </c>
      <c r="G8" s="6">
        <v>1.4999999999999999E-4</v>
      </c>
      <c r="H8" s="7">
        <f t="shared" si="0"/>
        <v>17.084999999999997</v>
      </c>
      <c r="J8" s="5">
        <v>1.138989</v>
      </c>
      <c r="K8" s="8">
        <v>1.85E-4</v>
      </c>
      <c r="L8" s="7">
        <f t="shared" si="1"/>
        <v>18.5</v>
      </c>
      <c r="N8" s="7">
        <f t="shared" si="2"/>
        <v>-0.84790936357714841</v>
      </c>
      <c r="O8" s="7">
        <f t="shared" si="3"/>
        <v>38.822377030913991</v>
      </c>
    </row>
    <row r="9" spans="3:17" x14ac:dyDescent="0.25">
      <c r="C9" s="3">
        <v>1500</v>
      </c>
      <c r="D9" s="3">
        <v>30</v>
      </c>
      <c r="F9" s="5">
        <v>1.1478699999999999</v>
      </c>
      <c r="G9" s="6">
        <v>1.4999999999999999E-4</v>
      </c>
      <c r="H9" s="7">
        <f t="shared" si="0"/>
        <v>17.218049999999998</v>
      </c>
      <c r="J9" s="5">
        <v>1.1478349999999999</v>
      </c>
      <c r="K9" s="8">
        <v>1.6699999999999999E-4</v>
      </c>
      <c r="L9" s="7">
        <f t="shared" si="1"/>
        <v>16.7</v>
      </c>
      <c r="N9" s="7">
        <f t="shared" si="2"/>
        <v>-2.6564147042718034</v>
      </c>
      <c r="O9" s="7">
        <f t="shared" si="3"/>
        <v>36.410274385075247</v>
      </c>
      <c r="Q9" s="1" t="s">
        <v>104</v>
      </c>
    </row>
    <row r="10" spans="3:17" x14ac:dyDescent="0.25">
      <c r="C10" s="3">
        <v>2000</v>
      </c>
      <c r="D10" s="3">
        <v>40</v>
      </c>
      <c r="F10" s="5">
        <v>1.1556999999999999</v>
      </c>
      <c r="G10" s="6">
        <v>1.4999999999999999E-4</v>
      </c>
      <c r="H10" s="7">
        <f t="shared" si="0"/>
        <v>17.335499999999996</v>
      </c>
      <c r="J10" s="5">
        <v>1.1555029999999999</v>
      </c>
      <c r="K10" s="8">
        <v>1.65E-4</v>
      </c>
      <c r="L10" s="7">
        <f t="shared" si="1"/>
        <v>16.5</v>
      </c>
      <c r="N10" s="7">
        <f t="shared" si="2"/>
        <v>-14.751970509641055</v>
      </c>
      <c r="O10" s="7">
        <f t="shared" si="3"/>
        <v>35.842651385199382</v>
      </c>
      <c r="Q10" s="2" t="s">
        <v>105</v>
      </c>
    </row>
    <row r="11" spans="3:17" x14ac:dyDescent="0.25">
      <c r="C11" s="3">
        <v>2500</v>
      </c>
      <c r="D11" s="3">
        <v>50</v>
      </c>
      <c r="F11" s="5">
        <v>1.1627000000000001</v>
      </c>
      <c r="G11" s="6">
        <v>1.4999999999999999E-4</v>
      </c>
      <c r="H11" s="7">
        <f t="shared" si="0"/>
        <v>17.4405</v>
      </c>
      <c r="J11" s="5">
        <v>1.162209</v>
      </c>
      <c r="K11" s="8">
        <v>1.8599999999999999E-4</v>
      </c>
      <c r="L11" s="7">
        <f t="shared" si="1"/>
        <v>18.599999999999998</v>
      </c>
      <c r="N11" s="7">
        <f t="shared" si="2"/>
        <v>-36.335369873174983</v>
      </c>
      <c r="O11" s="7">
        <f t="shared" si="3"/>
        <v>37.739001725203977</v>
      </c>
      <c r="Q11" s="2" t="s">
        <v>106</v>
      </c>
    </row>
    <row r="12" spans="3:17" x14ac:dyDescent="0.25">
      <c r="C12" s="3">
        <v>3000</v>
      </c>
      <c r="D12" s="3">
        <v>60</v>
      </c>
      <c r="F12" s="5">
        <v>1.1693199999999999</v>
      </c>
      <c r="G12" s="6">
        <v>1.3999999999999999E-4</v>
      </c>
      <c r="H12" s="7">
        <f t="shared" si="0"/>
        <v>16.370479999999997</v>
      </c>
      <c r="J12" s="5">
        <v>1.168874</v>
      </c>
      <c r="K12" s="8">
        <v>1.55E-4</v>
      </c>
      <c r="L12" s="7">
        <f t="shared" si="1"/>
        <v>15.5</v>
      </c>
      <c r="N12" s="7">
        <f t="shared" si="2"/>
        <v>-32.631255394965919</v>
      </c>
      <c r="O12" s="7">
        <f t="shared" si="3"/>
        <v>32.987961365947683</v>
      </c>
      <c r="Q12" s="2" t="s">
        <v>107</v>
      </c>
    </row>
    <row r="13" spans="3:17" x14ac:dyDescent="0.25">
      <c r="C13" s="3">
        <v>3500</v>
      </c>
      <c r="D13" s="3">
        <v>70</v>
      </c>
      <c r="F13" s="5">
        <v>1.17438</v>
      </c>
      <c r="G13" s="6">
        <v>1.3999999999999999E-4</v>
      </c>
      <c r="H13" s="7">
        <f t="shared" si="0"/>
        <v>16.441319999999997</v>
      </c>
      <c r="J13" s="5">
        <v>1.1739649999999999</v>
      </c>
      <c r="K13" s="8">
        <v>1.6799999999999999E-4</v>
      </c>
      <c r="L13" s="7">
        <f t="shared" si="1"/>
        <v>16.8</v>
      </c>
      <c r="N13" s="7">
        <f t="shared" si="2"/>
        <v>-30.101234076140848</v>
      </c>
      <c r="O13" s="7">
        <f t="shared" si="3"/>
        <v>34.100292963663215</v>
      </c>
      <c r="Q13" s="2" t="s">
        <v>108</v>
      </c>
    </row>
    <row r="14" spans="3:17" x14ac:dyDescent="0.25">
      <c r="C14" s="3">
        <v>4000</v>
      </c>
      <c r="D14" s="3">
        <v>80</v>
      </c>
      <c r="F14" s="5">
        <v>1.1792800000000001</v>
      </c>
      <c r="G14" s="6">
        <v>1.3999999999999999E-4</v>
      </c>
      <c r="H14" s="7">
        <f t="shared" si="0"/>
        <v>16.509920000000001</v>
      </c>
      <c r="J14" s="5">
        <v>1.1791450000000001</v>
      </c>
      <c r="K14" s="8">
        <v>1.7000000000000001E-4</v>
      </c>
      <c r="L14" s="7">
        <f t="shared" si="1"/>
        <v>17</v>
      </c>
      <c r="N14" s="7">
        <f t="shared" si="2"/>
        <v>-9.7084438137717832</v>
      </c>
      <c r="O14" s="7">
        <f t="shared" si="3"/>
        <v>34.08412441119475</v>
      </c>
    </row>
    <row r="15" spans="3:17" x14ac:dyDescent="0.25">
      <c r="C15" s="3">
        <v>4500</v>
      </c>
      <c r="D15" s="3">
        <v>90</v>
      </c>
      <c r="F15" s="5">
        <v>1.18377</v>
      </c>
      <c r="G15" s="6">
        <v>1.3999999999999999E-4</v>
      </c>
      <c r="H15" s="7">
        <f t="shared" si="0"/>
        <v>16.572779999999998</v>
      </c>
      <c r="J15" s="5">
        <v>1.1830639999999999</v>
      </c>
      <c r="K15" s="8">
        <v>1.65E-4</v>
      </c>
      <c r="L15" s="7">
        <f t="shared" si="1"/>
        <v>16.5</v>
      </c>
      <c r="N15" s="7">
        <f t="shared" si="2"/>
        <v>-50.411443374431819</v>
      </c>
      <c r="O15" s="7">
        <f t="shared" si="3"/>
        <v>33.397210726174094</v>
      </c>
    </row>
    <row r="16" spans="3:17" x14ac:dyDescent="0.25">
      <c r="C16" s="3">
        <v>5000</v>
      </c>
      <c r="D16" s="3">
        <v>100</v>
      </c>
      <c r="F16" s="5">
        <v>1.1872400000000001</v>
      </c>
      <c r="G16" s="6">
        <v>1.3999999999999999E-4</v>
      </c>
      <c r="H16" s="7">
        <f t="shared" si="0"/>
        <v>16.621359999999999</v>
      </c>
      <c r="J16" s="5">
        <v>1.1868939999999999</v>
      </c>
      <c r="K16" s="8">
        <v>1.6000000000000001E-4</v>
      </c>
      <c r="L16" s="7">
        <f t="shared" si="1"/>
        <v>16</v>
      </c>
      <c r="N16" s="7">
        <f t="shared" si="2"/>
        <v>-24.554191812620196</v>
      </c>
      <c r="O16" s="7">
        <f t="shared" si="3"/>
        <v>32.74466803846083</v>
      </c>
    </row>
    <row r="18" spans="3:15" x14ac:dyDescent="0.25">
      <c r="C18" s="24" t="s">
        <v>67</v>
      </c>
      <c r="D18" s="24"/>
      <c r="F18" s="29" t="s">
        <v>84</v>
      </c>
      <c r="G18" s="29"/>
      <c r="H18" s="29"/>
      <c r="J18" s="29" t="s">
        <v>85</v>
      </c>
      <c r="K18" s="29"/>
      <c r="L18" s="29"/>
      <c r="N18" s="25" t="s">
        <v>9</v>
      </c>
      <c r="O18" s="23" t="s">
        <v>10</v>
      </c>
    </row>
    <row r="19" spans="3:15" x14ac:dyDescent="0.25">
      <c r="C19" s="3" t="s">
        <v>2</v>
      </c>
      <c r="D19" s="3" t="s">
        <v>69</v>
      </c>
      <c r="F19" s="3" t="s">
        <v>3</v>
      </c>
      <c r="G19" s="3" t="s">
        <v>4</v>
      </c>
      <c r="H19" s="3" t="s">
        <v>5</v>
      </c>
      <c r="J19" s="3" t="s">
        <v>3</v>
      </c>
      <c r="K19" s="3" t="s">
        <v>4</v>
      </c>
      <c r="L19" s="3" t="s">
        <v>5</v>
      </c>
      <c r="N19" s="25"/>
      <c r="O19" s="23"/>
    </row>
    <row r="20" spans="3:15" x14ac:dyDescent="0.25">
      <c r="C20" s="3">
        <v>0</v>
      </c>
      <c r="D20" s="3">
        <v>0</v>
      </c>
      <c r="F20" s="5">
        <v>1.14673</v>
      </c>
      <c r="G20" s="6">
        <v>1.7000000000000001E-4</v>
      </c>
      <c r="H20" s="7">
        <f>G20*100000*F20</f>
        <v>19.494410000000002</v>
      </c>
      <c r="J20" s="5">
        <v>1.1464799999999999</v>
      </c>
      <c r="K20" s="8">
        <v>2.0000000000000001E-4</v>
      </c>
      <c r="L20" s="7">
        <f>K20*100000</f>
        <v>20</v>
      </c>
      <c r="N20" s="7">
        <f>(1/F20-1/J20)*100000</f>
        <v>-19.015701494740078</v>
      </c>
      <c r="O20" s="7">
        <f>SQRT(1/J20^4*L20^2+1/F20^4*H20^2)*2</f>
        <v>42.487482488770389</v>
      </c>
    </row>
    <row r="21" spans="3:15" x14ac:dyDescent="0.25">
      <c r="C21" s="3">
        <v>250</v>
      </c>
      <c r="D21" s="3">
        <v>5</v>
      </c>
      <c r="F21" s="5">
        <v>1.1508</v>
      </c>
      <c r="G21" s="6">
        <v>1.7000000000000001E-4</v>
      </c>
      <c r="H21" s="7">
        <f t="shared" ref="H21:H31" si="4">G21*100000*F21</f>
        <v>19.563600000000001</v>
      </c>
      <c r="J21" s="5">
        <v>1.1516299999999999</v>
      </c>
      <c r="K21" s="8">
        <v>1.9000000000000001E-4</v>
      </c>
      <c r="L21" s="7">
        <f t="shared" ref="L21:L31" si="5">K21*100000</f>
        <v>19</v>
      </c>
      <c r="N21" s="7">
        <f t="shared" ref="N21:N31" si="6">(1/F21-1/J21)*100000</f>
        <v>62.62752794468085</v>
      </c>
      <c r="O21" s="7">
        <f t="shared" ref="O21:O31" si="7">SQRT(1/J21^4*L21^2+1/F21^4*H21^2)*2</f>
        <v>41.156221548732752</v>
      </c>
    </row>
    <row r="22" spans="3:15" x14ac:dyDescent="0.25">
      <c r="C22" s="3">
        <v>500</v>
      </c>
      <c r="D22" s="3">
        <v>10</v>
      </c>
      <c r="F22" s="5">
        <v>1.1532</v>
      </c>
      <c r="G22" s="6">
        <v>1.7000000000000001E-4</v>
      </c>
      <c r="H22" s="7">
        <f t="shared" si="4"/>
        <v>19.604399999999998</v>
      </c>
      <c r="J22" s="5">
        <v>1.15594</v>
      </c>
      <c r="K22" s="8">
        <v>2.0000000000000001E-4</v>
      </c>
      <c r="L22" s="7">
        <f t="shared" si="5"/>
        <v>20</v>
      </c>
      <c r="N22" s="7">
        <f t="shared" si="6"/>
        <v>205.54676065477341</v>
      </c>
      <c r="O22" s="7">
        <f t="shared" si="7"/>
        <v>42.016708928493578</v>
      </c>
    </row>
    <row r="23" spans="3:15" x14ac:dyDescent="0.25">
      <c r="C23" s="3">
        <v>1000</v>
      </c>
      <c r="D23" s="3">
        <v>20</v>
      </c>
      <c r="F23" s="5">
        <v>1.1580999999999999</v>
      </c>
      <c r="G23" s="6">
        <v>1.6000000000000001E-4</v>
      </c>
      <c r="H23" s="7">
        <f t="shared" si="4"/>
        <v>18.529599999999999</v>
      </c>
      <c r="J23" s="5">
        <v>1.16309</v>
      </c>
      <c r="K23" s="8">
        <v>2.0000000000000001E-4</v>
      </c>
      <c r="L23" s="7">
        <f t="shared" si="5"/>
        <v>20</v>
      </c>
      <c r="N23" s="7">
        <f t="shared" si="6"/>
        <v>370.45986338766215</v>
      </c>
      <c r="O23" s="7">
        <f t="shared" si="7"/>
        <v>40.469870182097004</v>
      </c>
    </row>
    <row r="24" spans="3:15" x14ac:dyDescent="0.25">
      <c r="C24" s="3">
        <v>1500</v>
      </c>
      <c r="D24" s="3">
        <v>30</v>
      </c>
      <c r="F24" s="5">
        <v>1.16262</v>
      </c>
      <c r="G24" s="6">
        <v>1.6000000000000001E-4</v>
      </c>
      <c r="H24" s="7">
        <f t="shared" si="4"/>
        <v>18.60192</v>
      </c>
      <c r="J24" s="5">
        <v>1.16926</v>
      </c>
      <c r="K24" s="8">
        <v>2.0000000000000001E-4</v>
      </c>
      <c r="L24" s="7">
        <f t="shared" si="5"/>
        <v>20</v>
      </c>
      <c r="N24" s="7">
        <f t="shared" si="6"/>
        <v>488.44896856118368</v>
      </c>
      <c r="O24" s="7">
        <f t="shared" si="7"/>
        <v>40.169347101689183</v>
      </c>
    </row>
    <row r="25" spans="3:15" x14ac:dyDescent="0.25">
      <c r="C25" s="3">
        <v>2000</v>
      </c>
      <c r="D25" s="3">
        <v>40</v>
      </c>
      <c r="F25" s="5">
        <v>1.1653199999999999</v>
      </c>
      <c r="G25" s="6">
        <v>1.6000000000000001E-4</v>
      </c>
      <c r="H25" s="7">
        <f t="shared" si="4"/>
        <v>18.645119999999999</v>
      </c>
      <c r="J25" s="5">
        <v>1.17442</v>
      </c>
      <c r="K25" s="8">
        <v>1.9000000000000001E-4</v>
      </c>
      <c r="L25" s="7">
        <f t="shared" si="5"/>
        <v>19</v>
      </c>
      <c r="N25" s="7">
        <f t="shared" si="6"/>
        <v>664.92514033397174</v>
      </c>
      <c r="O25" s="7">
        <f t="shared" si="7"/>
        <v>38.898864771771777</v>
      </c>
    </row>
    <row r="26" spans="3:15" x14ac:dyDescent="0.25">
      <c r="C26" s="3">
        <v>2500</v>
      </c>
      <c r="D26" s="3">
        <v>50</v>
      </c>
      <c r="F26" s="5">
        <v>1.1681600000000001</v>
      </c>
      <c r="G26" s="6">
        <v>1.6000000000000001E-4</v>
      </c>
      <c r="H26" s="7">
        <f t="shared" si="4"/>
        <v>18.690560000000001</v>
      </c>
      <c r="J26" s="5">
        <v>1.1792899999999999</v>
      </c>
      <c r="K26" s="8">
        <v>1.8000000000000001E-4</v>
      </c>
      <c r="L26" s="7">
        <f t="shared" si="5"/>
        <v>18</v>
      </c>
      <c r="N26" s="7">
        <f t="shared" si="6"/>
        <v>807.92717739950342</v>
      </c>
      <c r="O26" s="7">
        <f t="shared" si="7"/>
        <v>37.689228077607076</v>
      </c>
    </row>
    <row r="27" spans="3:15" x14ac:dyDescent="0.25">
      <c r="C27" s="3">
        <v>3000</v>
      </c>
      <c r="D27" s="3">
        <v>60</v>
      </c>
      <c r="F27" s="5">
        <v>1.17073</v>
      </c>
      <c r="G27" s="6">
        <v>1.4999999999999999E-4</v>
      </c>
      <c r="H27" s="7">
        <f t="shared" si="4"/>
        <v>17.560949999999998</v>
      </c>
      <c r="J27" s="5">
        <v>1.18336</v>
      </c>
      <c r="K27" s="8">
        <v>1.9000000000000001E-4</v>
      </c>
      <c r="L27" s="7">
        <f t="shared" si="5"/>
        <v>19</v>
      </c>
      <c r="N27" s="7">
        <f t="shared" si="6"/>
        <v>911.65332043546823</v>
      </c>
      <c r="O27" s="7">
        <f t="shared" si="7"/>
        <v>37.323164204430263</v>
      </c>
    </row>
    <row r="28" spans="3:15" x14ac:dyDescent="0.25">
      <c r="C28" s="3">
        <v>3500</v>
      </c>
      <c r="D28" s="3">
        <v>70</v>
      </c>
      <c r="F28" s="5">
        <v>1.17238</v>
      </c>
      <c r="G28" s="6">
        <v>1.4999999999999999E-4</v>
      </c>
      <c r="H28" s="7">
        <f t="shared" si="4"/>
        <v>17.585699999999999</v>
      </c>
      <c r="J28" s="5">
        <v>1.1866099999999999</v>
      </c>
      <c r="K28" s="8">
        <v>1.8000000000000001E-4</v>
      </c>
      <c r="L28" s="7">
        <f t="shared" si="5"/>
        <v>18</v>
      </c>
      <c r="N28" s="7">
        <f t="shared" si="6"/>
        <v>1022.8889687942888</v>
      </c>
      <c r="O28" s="7">
        <f t="shared" si="7"/>
        <v>36.173018320422976</v>
      </c>
    </row>
    <row r="29" spans="3:15" x14ac:dyDescent="0.25">
      <c r="C29" s="3">
        <v>4000</v>
      </c>
      <c r="D29" s="3">
        <v>80</v>
      </c>
      <c r="F29" s="5">
        <v>1.17387</v>
      </c>
      <c r="G29" s="6">
        <v>1.4999999999999999E-4</v>
      </c>
      <c r="H29" s="7">
        <f t="shared" si="4"/>
        <v>17.608049999999999</v>
      </c>
      <c r="J29" s="5">
        <v>1.18913</v>
      </c>
      <c r="K29" s="8">
        <v>1.8000000000000001E-4</v>
      </c>
      <c r="L29" s="7">
        <f t="shared" si="5"/>
        <v>18</v>
      </c>
      <c r="N29" s="7">
        <f t="shared" si="6"/>
        <v>1093.2140233820387</v>
      </c>
      <c r="O29" s="7">
        <f t="shared" si="7"/>
        <v>36.073569587353738</v>
      </c>
    </row>
    <row r="30" spans="3:15" x14ac:dyDescent="0.25">
      <c r="C30" s="3">
        <v>4500</v>
      </c>
      <c r="D30" s="3">
        <v>90</v>
      </c>
      <c r="F30" s="5">
        <v>1.17445</v>
      </c>
      <c r="G30" s="6">
        <v>1.3999999999999999E-4</v>
      </c>
      <c r="H30" s="7">
        <f t="shared" si="4"/>
        <v>16.442299999999999</v>
      </c>
      <c r="J30" s="5"/>
      <c r="K30" s="8"/>
      <c r="L30" s="7">
        <f t="shared" si="5"/>
        <v>0</v>
      </c>
      <c r="N30" s="7" t="e">
        <f t="shared" si="6"/>
        <v>#DIV/0!</v>
      </c>
      <c r="O30" s="7" t="e">
        <f t="shared" si="7"/>
        <v>#DIV/0!</v>
      </c>
    </row>
    <row r="31" spans="3:15" x14ac:dyDescent="0.25">
      <c r="C31" s="3">
        <v>5000</v>
      </c>
      <c r="D31" s="3">
        <v>100</v>
      </c>
      <c r="F31" s="5">
        <v>1.17554</v>
      </c>
      <c r="G31" s="6">
        <v>1.4999999999999999E-4</v>
      </c>
      <c r="H31" s="7">
        <f t="shared" si="4"/>
        <v>17.633099999999999</v>
      </c>
      <c r="J31" s="5"/>
      <c r="K31" s="8"/>
      <c r="L31" s="7">
        <f t="shared" si="5"/>
        <v>0</v>
      </c>
      <c r="N31" s="7" t="e">
        <f t="shared" si="6"/>
        <v>#DIV/0!</v>
      </c>
      <c r="O31" s="7" t="e">
        <f t="shared" si="7"/>
        <v>#DIV/0!</v>
      </c>
    </row>
    <row r="33" spans="3:18" x14ac:dyDescent="0.25">
      <c r="C33" s="24" t="s">
        <v>67</v>
      </c>
      <c r="D33" s="24"/>
      <c r="F33" s="29" t="s">
        <v>86</v>
      </c>
      <c r="G33" s="29"/>
      <c r="H33" s="29"/>
      <c r="J33" s="29" t="s">
        <v>87</v>
      </c>
      <c r="K33" s="29"/>
      <c r="L33" s="29"/>
      <c r="N33" s="25" t="s">
        <v>9</v>
      </c>
      <c r="O33" s="23" t="s">
        <v>10</v>
      </c>
    </row>
    <row r="34" spans="3:18" x14ac:dyDescent="0.25">
      <c r="C34" s="3" t="s">
        <v>2</v>
      </c>
      <c r="D34" s="3" t="s">
        <v>69</v>
      </c>
      <c r="F34" s="3" t="s">
        <v>3</v>
      </c>
      <c r="G34" s="3" t="s">
        <v>4</v>
      </c>
      <c r="H34" s="3" t="s">
        <v>5</v>
      </c>
      <c r="J34" s="3" t="s">
        <v>3</v>
      </c>
      <c r="K34" s="3" t="s">
        <v>4</v>
      </c>
      <c r="L34" s="3" t="s">
        <v>5</v>
      </c>
      <c r="N34" s="25"/>
      <c r="O34" s="23"/>
    </row>
    <row r="35" spans="3:18" x14ac:dyDescent="0.25">
      <c r="C35" s="3">
        <v>0</v>
      </c>
      <c r="D35" s="3">
        <v>0</v>
      </c>
      <c r="F35" s="5">
        <v>0.96646500000000002</v>
      </c>
      <c r="G35" s="6">
        <v>1.8000000000000001E-4</v>
      </c>
      <c r="H35" s="7">
        <f>G35*100000*F35</f>
        <v>17.396370000000001</v>
      </c>
      <c r="J35" s="5">
        <v>0.96635899999999997</v>
      </c>
      <c r="K35" s="8">
        <v>1.76E-4</v>
      </c>
      <c r="L35" s="7">
        <f>K35*100000</f>
        <v>17.599999999999998</v>
      </c>
      <c r="N35" s="7">
        <f>(1/F35-1/J35)*100000</f>
        <v>-11.349617846456717</v>
      </c>
      <c r="O35" s="7">
        <f>SQRT(1/J35^4*L35^2+1/F35^4*H35^2)*2</f>
        <v>52.993338693323437</v>
      </c>
    </row>
    <row r="36" spans="3:18" x14ac:dyDescent="0.25">
      <c r="C36" s="3">
        <v>250</v>
      </c>
      <c r="D36" s="3">
        <v>5</v>
      </c>
      <c r="F36" s="5">
        <v>0.97130399999999995</v>
      </c>
      <c r="G36" s="6">
        <v>1.8000000000000001E-4</v>
      </c>
      <c r="H36" s="7">
        <f t="shared" ref="H36:H46" si="8">G36*100000*F36</f>
        <v>17.483471999999999</v>
      </c>
      <c r="J36" s="5">
        <v>0.97098600000000002</v>
      </c>
      <c r="K36" s="8">
        <v>1.8000000000000001E-4</v>
      </c>
      <c r="L36" s="7">
        <f t="shared" ref="L36:L46" si="9">K36*100000</f>
        <v>18</v>
      </c>
      <c r="N36" s="7">
        <f t="shared" ref="N36:N46" si="10">(1/F36-1/J36)*100000</f>
        <v>-33.717780149333798</v>
      </c>
      <c r="O36" s="7">
        <f t="shared" ref="O36:O46" si="11">SQRT(1/J36^4*L36^2+1/F36^4*H36^2)*2</f>
        <v>53.213663093446385</v>
      </c>
    </row>
    <row r="37" spans="3:18" x14ac:dyDescent="0.25">
      <c r="C37" s="3">
        <v>500</v>
      </c>
      <c r="D37" s="3">
        <v>10</v>
      </c>
      <c r="F37" s="5">
        <v>0.97556600000000004</v>
      </c>
      <c r="G37" s="6">
        <v>1.8000000000000001E-4</v>
      </c>
      <c r="H37" s="7">
        <f t="shared" si="8"/>
        <v>17.560188</v>
      </c>
      <c r="J37" s="5">
        <v>0.97576200000000002</v>
      </c>
      <c r="K37" s="8">
        <v>1.8200000000000001E-4</v>
      </c>
      <c r="L37" s="7">
        <f t="shared" si="9"/>
        <v>18.2</v>
      </c>
      <c r="N37" s="7">
        <f t="shared" si="10"/>
        <v>20.58996054050688</v>
      </c>
      <c r="O37" s="7">
        <f t="shared" si="11"/>
        <v>53.134993467406467</v>
      </c>
    </row>
    <row r="38" spans="3:18" x14ac:dyDescent="0.25">
      <c r="C38" s="3">
        <v>1000</v>
      </c>
      <c r="D38" s="3">
        <v>20</v>
      </c>
      <c r="F38" s="5">
        <v>0.98345899999999997</v>
      </c>
      <c r="G38" s="6">
        <v>1.8000000000000001E-4</v>
      </c>
      <c r="H38" s="7">
        <f t="shared" si="8"/>
        <v>17.702262000000001</v>
      </c>
      <c r="J38" s="5">
        <v>0.98288200000000003</v>
      </c>
      <c r="K38" s="8">
        <v>1.6799999999999999E-4</v>
      </c>
      <c r="L38" s="7">
        <f t="shared" si="9"/>
        <v>16.8</v>
      </c>
      <c r="N38" s="7">
        <f t="shared" si="10"/>
        <v>-59.692280675327503</v>
      </c>
      <c r="O38" s="7">
        <f t="shared" si="11"/>
        <v>50.494049585514361</v>
      </c>
    </row>
    <row r="39" spans="3:18" x14ac:dyDescent="0.25">
      <c r="C39" s="3">
        <v>1500</v>
      </c>
      <c r="D39" s="3">
        <v>30</v>
      </c>
      <c r="F39" s="5">
        <v>0.99014100000000005</v>
      </c>
      <c r="G39" s="6">
        <v>1.8000000000000001E-4</v>
      </c>
      <c r="H39" s="7">
        <f t="shared" si="8"/>
        <v>17.822538000000002</v>
      </c>
      <c r="J39" s="5">
        <v>0.98965499999999995</v>
      </c>
      <c r="K39" s="8">
        <v>1.8699999999999999E-4</v>
      </c>
      <c r="L39" s="7">
        <f t="shared" si="9"/>
        <v>18.7</v>
      </c>
      <c r="N39" s="7">
        <f t="shared" si="10"/>
        <v>-49.596999308887391</v>
      </c>
      <c r="O39" s="7">
        <f t="shared" si="11"/>
        <v>52.726716575233077</v>
      </c>
    </row>
    <row r="40" spans="3:18" x14ac:dyDescent="0.25">
      <c r="C40" s="3">
        <v>2000</v>
      </c>
      <c r="D40" s="3">
        <v>40</v>
      </c>
      <c r="F40" s="5">
        <v>0.99563000000000001</v>
      </c>
      <c r="G40" s="6">
        <v>1.8000000000000001E-4</v>
      </c>
      <c r="H40" s="7">
        <f t="shared" si="8"/>
        <v>17.921340000000001</v>
      </c>
      <c r="J40" s="5">
        <v>0.99541800000000003</v>
      </c>
      <c r="K40" s="8">
        <v>1.8000000000000001E-4</v>
      </c>
      <c r="L40" s="7">
        <f t="shared" si="9"/>
        <v>18</v>
      </c>
      <c r="N40" s="7">
        <f t="shared" si="10"/>
        <v>-21.391064488729405</v>
      </c>
      <c r="O40" s="7">
        <f t="shared" si="11"/>
        <v>51.25845702864585</v>
      </c>
    </row>
    <row r="41" spans="3:18" x14ac:dyDescent="0.25">
      <c r="C41" s="3">
        <v>2500</v>
      </c>
      <c r="D41" s="3">
        <v>50</v>
      </c>
      <c r="F41" s="5">
        <v>1.00007</v>
      </c>
      <c r="G41" s="6">
        <v>1.7000000000000001E-4</v>
      </c>
      <c r="H41" s="7">
        <f t="shared" si="8"/>
        <v>17.001190000000001</v>
      </c>
      <c r="J41" s="5">
        <v>0.99970800000000004</v>
      </c>
      <c r="K41" s="8">
        <v>1.75E-4</v>
      </c>
      <c r="L41" s="7">
        <f t="shared" si="9"/>
        <v>17.5</v>
      </c>
      <c r="N41" s="7">
        <f t="shared" si="10"/>
        <v>-36.208038924734339</v>
      </c>
      <c r="O41" s="7">
        <f t="shared" si="11"/>
        <v>48.808503583759915</v>
      </c>
    </row>
    <row r="42" spans="3:18" x14ac:dyDescent="0.25">
      <c r="C42" s="3">
        <v>3000</v>
      </c>
      <c r="D42" s="3">
        <v>60</v>
      </c>
      <c r="F42" s="5">
        <v>1.0037</v>
      </c>
      <c r="G42" s="6">
        <v>1.8000000000000001E-4</v>
      </c>
      <c r="H42" s="7">
        <f t="shared" si="8"/>
        <v>18.066600000000001</v>
      </c>
      <c r="J42" s="5">
        <v>1.0036970000000001</v>
      </c>
      <c r="K42" s="8">
        <v>1.7799999999999999E-4</v>
      </c>
      <c r="L42" s="7">
        <f t="shared" si="9"/>
        <v>17.8</v>
      </c>
      <c r="N42" s="7">
        <f t="shared" si="10"/>
        <v>-0.29779315057210098</v>
      </c>
      <c r="O42" s="7">
        <f t="shared" si="11"/>
        <v>50.35129386077886</v>
      </c>
    </row>
    <row r="43" spans="3:18" x14ac:dyDescent="0.25">
      <c r="C43" s="3">
        <v>3500</v>
      </c>
      <c r="D43" s="3">
        <v>70</v>
      </c>
      <c r="F43" s="5">
        <v>1.0068999999999999</v>
      </c>
      <c r="G43" s="6">
        <v>1.7000000000000001E-4</v>
      </c>
      <c r="H43" s="7">
        <f t="shared" si="8"/>
        <v>17.1173</v>
      </c>
      <c r="J43" s="5">
        <v>1.0067600000000001</v>
      </c>
      <c r="K43" s="8">
        <v>1.64E-4</v>
      </c>
      <c r="L43" s="7">
        <f t="shared" si="9"/>
        <v>16.399999999999999</v>
      </c>
      <c r="N43" s="7">
        <f t="shared" si="10"/>
        <v>-13.810701629357602</v>
      </c>
      <c r="O43" s="7">
        <f t="shared" si="11"/>
        <v>46.770131022051515</v>
      </c>
    </row>
    <row r="44" spans="3:18" x14ac:dyDescent="0.25">
      <c r="C44" s="3">
        <v>4000</v>
      </c>
      <c r="D44" s="3">
        <v>80</v>
      </c>
      <c r="F44" s="5">
        <v>1.00946</v>
      </c>
      <c r="G44" s="6">
        <v>1.7000000000000001E-4</v>
      </c>
      <c r="H44" s="7">
        <f t="shared" si="8"/>
        <v>17.160820000000001</v>
      </c>
      <c r="J44" s="5">
        <v>1.0091829999999999</v>
      </c>
      <c r="K44" s="8">
        <v>1.8200000000000001E-4</v>
      </c>
      <c r="L44" s="7">
        <f t="shared" si="9"/>
        <v>18.2</v>
      </c>
      <c r="N44" s="7">
        <f t="shared" si="10"/>
        <v>-27.190721292902342</v>
      </c>
      <c r="O44" s="7">
        <f t="shared" si="11"/>
        <v>49.110321189537899</v>
      </c>
    </row>
    <row r="45" spans="3:18" x14ac:dyDescent="0.25">
      <c r="C45" s="3">
        <v>4500</v>
      </c>
      <c r="D45" s="3">
        <v>90</v>
      </c>
      <c r="F45" s="5">
        <v>1.0117400000000001</v>
      </c>
      <c r="G45" s="6">
        <v>1.7000000000000001E-4</v>
      </c>
      <c r="H45" s="7">
        <f t="shared" si="8"/>
        <v>17.199580000000001</v>
      </c>
      <c r="J45" s="5">
        <v>1.0112950000000001</v>
      </c>
      <c r="K45" s="8">
        <v>1.5899999999999999E-4</v>
      </c>
      <c r="L45" s="7">
        <f t="shared" si="9"/>
        <v>15.899999999999999</v>
      </c>
      <c r="N45" s="7">
        <f t="shared" si="10"/>
        <v>-43.49238566240254</v>
      </c>
      <c r="O45" s="7">
        <f t="shared" si="11"/>
        <v>45.783637265528348</v>
      </c>
    </row>
    <row r="46" spans="3:18" x14ac:dyDescent="0.25">
      <c r="C46" s="3">
        <v>5000</v>
      </c>
      <c r="D46" s="3">
        <v>100</v>
      </c>
      <c r="F46" s="5">
        <v>1.0128600000000001</v>
      </c>
      <c r="G46" s="6">
        <v>1.6000000000000001E-4</v>
      </c>
      <c r="H46" s="7">
        <f t="shared" si="8"/>
        <v>16.205760000000001</v>
      </c>
      <c r="J46" s="5">
        <v>1.0126790000000001</v>
      </c>
      <c r="K46" s="8">
        <v>1.6799999999999999E-4</v>
      </c>
      <c r="L46" s="7">
        <f t="shared" si="9"/>
        <v>16.8</v>
      </c>
      <c r="N46" s="7">
        <f t="shared" si="10"/>
        <v>-17.646450024899618</v>
      </c>
      <c r="O46" s="7">
        <f t="shared" si="11"/>
        <v>45.515225134982614</v>
      </c>
    </row>
    <row r="48" spans="3:18" x14ac:dyDescent="0.25">
      <c r="C48" s="24" t="s">
        <v>67</v>
      </c>
      <c r="D48" s="24"/>
      <c r="F48" s="29" t="s">
        <v>88</v>
      </c>
      <c r="G48" s="29"/>
      <c r="H48" s="29"/>
      <c r="J48" s="29" t="s">
        <v>89</v>
      </c>
      <c r="K48" s="29"/>
      <c r="L48" s="29"/>
      <c r="N48" s="25" t="s">
        <v>9</v>
      </c>
      <c r="O48" s="23" t="s">
        <v>10</v>
      </c>
      <c r="Q48" s="24" t="s">
        <v>90</v>
      </c>
      <c r="R48" s="24"/>
    </row>
    <row r="49" spans="3:18" x14ac:dyDescent="0.25">
      <c r="C49" s="3" t="s">
        <v>2</v>
      </c>
      <c r="D49" s="3" t="s">
        <v>69</v>
      </c>
      <c r="F49" s="3" t="s">
        <v>3</v>
      </c>
      <c r="G49" s="3" t="s">
        <v>4</v>
      </c>
      <c r="H49" s="3" t="s">
        <v>5</v>
      </c>
      <c r="J49" s="3" t="s">
        <v>3</v>
      </c>
      <c r="K49" s="3" t="s">
        <v>4</v>
      </c>
      <c r="L49" s="3" t="s">
        <v>5</v>
      </c>
      <c r="N49" s="25"/>
      <c r="O49" s="23"/>
      <c r="Q49" s="3" t="s">
        <v>91</v>
      </c>
      <c r="R49" s="3" t="s">
        <v>92</v>
      </c>
    </row>
    <row r="50" spans="3:18" x14ac:dyDescent="0.25">
      <c r="C50" s="3">
        <v>0</v>
      </c>
      <c r="D50" s="3">
        <v>0</v>
      </c>
      <c r="F50" s="5">
        <v>1.38907</v>
      </c>
      <c r="G50" s="6">
        <v>1.3999999999999999E-4</v>
      </c>
      <c r="H50" s="7">
        <f>G50*100000*F50</f>
        <v>19.446979999999996</v>
      </c>
      <c r="J50" s="5">
        <v>1.3887100000000001</v>
      </c>
      <c r="K50" s="8">
        <v>2.1000000000000001E-4</v>
      </c>
      <c r="L50" s="7">
        <f>K50*100000</f>
        <v>21</v>
      </c>
      <c r="N50" s="7">
        <f>(1/F50-1/J50)*100000</f>
        <v>-18.662370453648158</v>
      </c>
      <c r="O50" s="7">
        <f>SQRT(1/J50^4*L50^2+1/F50^4*H50^2)*2</f>
        <v>29.675221254089713</v>
      </c>
      <c r="Q50" s="3" t="s">
        <v>93</v>
      </c>
      <c r="R50" s="21">
        <v>2.0434615384615298</v>
      </c>
    </row>
    <row r="51" spans="3:18" x14ac:dyDescent="0.25">
      <c r="C51" s="3">
        <v>250</v>
      </c>
      <c r="D51" s="3">
        <v>5</v>
      </c>
      <c r="F51" s="5">
        <v>1.3830899999999999</v>
      </c>
      <c r="G51" s="6">
        <v>1.3999999999999999E-4</v>
      </c>
      <c r="H51" s="7">
        <f t="shared" ref="H51:H61" si="12">G51*100000*F51</f>
        <v>19.363259999999997</v>
      </c>
      <c r="J51" s="5">
        <v>1.3829499999999999</v>
      </c>
      <c r="K51" s="8">
        <v>2.0000000000000001E-4</v>
      </c>
      <c r="L51" s="7">
        <f t="shared" ref="L51:L61" si="13">K51*100000</f>
        <v>20</v>
      </c>
      <c r="N51" s="7">
        <f t="shared" ref="N51:N61" si="14">(1/F51-1/J51)*100000</f>
        <v>-7.3193264183535334</v>
      </c>
      <c r="O51" s="7">
        <f t="shared" ref="O51:O61" si="15">SQRT(1/J51^4*L51^2+1/F51^4*H51^2)*2</f>
        <v>29.107665468368008</v>
      </c>
      <c r="Q51" s="3" t="s">
        <v>94</v>
      </c>
      <c r="R51" s="21">
        <v>24.879615384615299</v>
      </c>
    </row>
    <row r="52" spans="3:18" x14ac:dyDescent="0.25">
      <c r="C52" s="3">
        <v>500</v>
      </c>
      <c r="D52" s="3">
        <v>10</v>
      </c>
      <c r="F52" s="5">
        <v>1.3776299999999999</v>
      </c>
      <c r="G52" s="6">
        <v>1.4999999999999999E-4</v>
      </c>
      <c r="H52" s="7">
        <f t="shared" si="12"/>
        <v>20.664449999999995</v>
      </c>
      <c r="J52" s="5">
        <v>1.3769800000000001</v>
      </c>
      <c r="K52" s="8">
        <v>1.9000000000000001E-4</v>
      </c>
      <c r="L52" s="7">
        <f t="shared" si="13"/>
        <v>19</v>
      </c>
      <c r="N52" s="7">
        <f t="shared" si="14"/>
        <v>-34.265189077775645</v>
      </c>
      <c r="O52" s="7">
        <f t="shared" si="15"/>
        <v>29.595193031511986</v>
      </c>
      <c r="Q52" s="3" t="s">
        <v>95</v>
      </c>
      <c r="R52" s="21">
        <v>3.07692307692307</v>
      </c>
    </row>
    <row r="53" spans="3:18" x14ac:dyDescent="0.25">
      <c r="C53" s="3">
        <v>1000</v>
      </c>
      <c r="D53" s="3">
        <v>20</v>
      </c>
      <c r="F53" s="5">
        <v>1.36818</v>
      </c>
      <c r="G53" s="6">
        <v>1.3999999999999999E-4</v>
      </c>
      <c r="H53" s="7">
        <f t="shared" si="12"/>
        <v>19.154519999999998</v>
      </c>
      <c r="J53" s="5">
        <v>1.36825</v>
      </c>
      <c r="K53" s="8">
        <v>2.0000000000000001E-4</v>
      </c>
      <c r="L53" s="7">
        <f t="shared" si="13"/>
        <v>20</v>
      </c>
      <c r="N53" s="7">
        <f t="shared" si="14"/>
        <v>3.7392917002110337</v>
      </c>
      <c r="O53" s="7">
        <f t="shared" si="15"/>
        <v>29.586151484543585</v>
      </c>
      <c r="Q53" s="3" t="s">
        <v>96</v>
      </c>
      <c r="R53" s="21">
        <v>58.461538461538403</v>
      </c>
    </row>
    <row r="54" spans="3:18" x14ac:dyDescent="0.25">
      <c r="C54" s="3">
        <v>1500</v>
      </c>
      <c r="D54" s="3">
        <v>30</v>
      </c>
      <c r="F54" s="5">
        <v>1.3594599999999999</v>
      </c>
      <c r="G54" s="6">
        <v>1.3999999999999999E-4</v>
      </c>
      <c r="H54" s="7">
        <f t="shared" si="12"/>
        <v>19.032439999999998</v>
      </c>
      <c r="J54" s="5">
        <v>1.35924</v>
      </c>
      <c r="K54" s="8">
        <v>1.9000000000000001E-4</v>
      </c>
      <c r="L54" s="7">
        <f t="shared" si="13"/>
        <v>19</v>
      </c>
      <c r="N54" s="7">
        <f t="shared" si="14"/>
        <v>-11.905841609971546</v>
      </c>
      <c r="O54" s="7">
        <f t="shared" si="15"/>
        <v>29.107617270979834</v>
      </c>
      <c r="Q54" s="3" t="s">
        <v>97</v>
      </c>
      <c r="R54" s="21">
        <v>6.53846153846</v>
      </c>
    </row>
    <row r="55" spans="3:18" x14ac:dyDescent="0.25">
      <c r="C55" s="3">
        <v>2000</v>
      </c>
      <c r="D55" s="3">
        <v>40</v>
      </c>
      <c r="F55" s="5">
        <v>1.3519300000000001</v>
      </c>
      <c r="G55" s="6">
        <v>1.3999999999999999E-4</v>
      </c>
      <c r="H55" s="7">
        <f t="shared" si="12"/>
        <v>18.927019999999999</v>
      </c>
      <c r="J55" s="5">
        <v>1.3514900000000001</v>
      </c>
      <c r="K55" s="8">
        <v>1.9000000000000001E-4</v>
      </c>
      <c r="L55" s="7">
        <f t="shared" si="13"/>
        <v>19</v>
      </c>
      <c r="N55" s="7">
        <f t="shared" si="14"/>
        <v>-24.081616420024154</v>
      </c>
      <c r="O55" s="7">
        <f t="shared" si="15"/>
        <v>29.356080546046549</v>
      </c>
      <c r="Q55" s="3" t="s">
        <v>98</v>
      </c>
      <c r="R55" s="21">
        <v>5</v>
      </c>
    </row>
    <row r="56" spans="3:18" x14ac:dyDescent="0.25">
      <c r="C56" s="3">
        <v>2500</v>
      </c>
      <c r="D56" s="3">
        <v>50</v>
      </c>
      <c r="F56" s="5">
        <v>1.3449899999999999</v>
      </c>
      <c r="G56" s="6">
        <v>1.3999999999999999E-4</v>
      </c>
      <c r="H56" s="7">
        <f t="shared" si="12"/>
        <v>18.829859999999996</v>
      </c>
      <c r="J56" s="5">
        <v>1.3453299999999999</v>
      </c>
      <c r="K56" s="8">
        <v>1.9000000000000001E-4</v>
      </c>
      <c r="L56" s="7">
        <f t="shared" si="13"/>
        <v>19</v>
      </c>
      <c r="N56" s="7">
        <f t="shared" si="14"/>
        <v>18.790184086325823</v>
      </c>
      <c r="O56" s="7">
        <f t="shared" si="15"/>
        <v>29.56686527680932</v>
      </c>
    </row>
    <row r="57" spans="3:18" x14ac:dyDescent="0.25">
      <c r="C57" s="3">
        <v>3000</v>
      </c>
      <c r="D57" s="3">
        <v>60</v>
      </c>
      <c r="F57" s="5">
        <v>1.33921</v>
      </c>
      <c r="G57" s="6">
        <v>1.2999999999999999E-4</v>
      </c>
      <c r="H57" s="7">
        <f t="shared" si="12"/>
        <v>17.409729999999996</v>
      </c>
      <c r="J57" s="5">
        <v>1.3391200000000001</v>
      </c>
      <c r="K57" s="8">
        <v>1.9000000000000001E-4</v>
      </c>
      <c r="L57" s="7">
        <f t="shared" si="13"/>
        <v>19</v>
      </c>
      <c r="N57" s="7">
        <f t="shared" si="14"/>
        <v>-5.0185046339912276</v>
      </c>
      <c r="O57" s="7">
        <f t="shared" si="15"/>
        <v>28.739597204890828</v>
      </c>
    </row>
    <row r="58" spans="3:18" x14ac:dyDescent="0.25">
      <c r="C58" s="3">
        <v>3500</v>
      </c>
      <c r="D58" s="3">
        <v>70</v>
      </c>
      <c r="F58" s="5">
        <v>1.3335600000000001</v>
      </c>
      <c r="G58" s="6">
        <v>1.2999999999999999E-4</v>
      </c>
      <c r="H58" s="7">
        <f t="shared" si="12"/>
        <v>17.336279999999999</v>
      </c>
      <c r="J58" s="5">
        <v>1.3334900000000001</v>
      </c>
      <c r="K58" s="8">
        <v>1.6000000000000001E-4</v>
      </c>
      <c r="L58" s="7">
        <f t="shared" si="13"/>
        <v>16</v>
      </c>
      <c r="N58" s="7">
        <f t="shared" si="14"/>
        <v>-3.9363682155180157</v>
      </c>
      <c r="O58" s="7">
        <f t="shared" si="15"/>
        <v>26.532404954733067</v>
      </c>
    </row>
    <row r="59" spans="3:18" x14ac:dyDescent="0.25">
      <c r="C59" s="3">
        <v>4000</v>
      </c>
      <c r="D59" s="3">
        <v>80</v>
      </c>
      <c r="F59" s="5">
        <v>1.3285400000000001</v>
      </c>
      <c r="G59" s="6">
        <v>1.2999999999999999E-4</v>
      </c>
      <c r="H59" s="7">
        <f t="shared" si="12"/>
        <v>17.27102</v>
      </c>
      <c r="J59" s="5">
        <v>1.32846</v>
      </c>
      <c r="K59" s="8">
        <v>1.6000000000000001E-4</v>
      </c>
      <c r="L59" s="7">
        <f t="shared" si="13"/>
        <v>16</v>
      </c>
      <c r="N59" s="7">
        <f t="shared" si="14"/>
        <v>-4.5328032638791704</v>
      </c>
      <c r="O59" s="7">
        <f t="shared" si="15"/>
        <v>26.679192140058024</v>
      </c>
    </row>
    <row r="60" spans="3:18" x14ac:dyDescent="0.25">
      <c r="C60" s="3">
        <v>4500</v>
      </c>
      <c r="D60" s="3">
        <v>90</v>
      </c>
      <c r="F60" s="5">
        <v>1.32406</v>
      </c>
      <c r="G60" s="6">
        <v>1.2999999999999999E-4</v>
      </c>
      <c r="H60" s="7">
        <f t="shared" si="12"/>
        <v>17.212779999999999</v>
      </c>
      <c r="J60" s="5">
        <v>1.3234300000000001</v>
      </c>
      <c r="K60" s="8">
        <v>1.6000000000000001E-4</v>
      </c>
      <c r="L60" s="7">
        <f t="shared" si="13"/>
        <v>16</v>
      </c>
      <c r="N60" s="7">
        <f t="shared" si="14"/>
        <v>-35.952732925581543</v>
      </c>
      <c r="O60" s="7">
        <f t="shared" si="15"/>
        <v>26.821678690435558</v>
      </c>
    </row>
    <row r="61" spans="3:18" x14ac:dyDescent="0.25">
      <c r="C61" s="3">
        <v>5000</v>
      </c>
      <c r="D61" s="3">
        <v>100</v>
      </c>
      <c r="F61" s="5">
        <v>1.3190299999999999</v>
      </c>
      <c r="G61" s="6">
        <v>1.2E-4</v>
      </c>
      <c r="H61" s="7">
        <f t="shared" si="12"/>
        <v>15.82836</v>
      </c>
      <c r="J61" s="5">
        <v>1.31907</v>
      </c>
      <c r="K61" s="8">
        <v>1.7000000000000001E-4</v>
      </c>
      <c r="L61" s="7">
        <f t="shared" si="13"/>
        <v>17</v>
      </c>
      <c r="N61" s="7">
        <f t="shared" si="14"/>
        <v>2.2989920788640816</v>
      </c>
      <c r="O61" s="7">
        <f t="shared" si="15"/>
        <v>26.700361983550138</v>
      </c>
    </row>
    <row r="63" spans="3:18" x14ac:dyDescent="0.25">
      <c r="C63" s="22"/>
    </row>
  </sheetData>
  <mergeCells count="21">
    <mergeCell ref="C18:D18"/>
    <mergeCell ref="F18:H18"/>
    <mergeCell ref="J18:L18"/>
    <mergeCell ref="N18:N19"/>
    <mergeCell ref="O18:O19"/>
    <mergeCell ref="C3:D3"/>
    <mergeCell ref="F3:H3"/>
    <mergeCell ref="J3:L3"/>
    <mergeCell ref="N3:N4"/>
    <mergeCell ref="O3:O4"/>
    <mergeCell ref="Q48:R48"/>
    <mergeCell ref="C33:D33"/>
    <mergeCell ref="F33:H33"/>
    <mergeCell ref="J33:L33"/>
    <mergeCell ref="N33:N34"/>
    <mergeCell ref="O33:O34"/>
    <mergeCell ref="C48:D48"/>
    <mergeCell ref="F48:H48"/>
    <mergeCell ref="J48:L48"/>
    <mergeCell ref="N48:N49"/>
    <mergeCell ref="O48:O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01_NaCl-UCl3</vt:lpstr>
      <vt:lpstr>02_NaCl-UCl3 (Gas Removal)</vt:lpstr>
      <vt:lpstr>03_LiCl-AnCl3</vt:lpstr>
      <vt:lpstr>04_NaCl_AnCl3</vt:lpstr>
      <vt:lpstr>05_LiCl_UCl3</vt:lpstr>
      <vt:lpstr>06_LiCl_NpCl3_ETC</vt:lpstr>
    </vt:vector>
  </TitlesOfParts>
  <Company>M365 Install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Taesuk Oh</dc:creator>
  <cp:lastModifiedBy>Taesuk Oh</cp:lastModifiedBy>
  <dcterms:created xsi:type="dcterms:W3CDTF">2026-04-06T03:24:07Z</dcterms:created>
  <dcterms:modified xsi:type="dcterms:W3CDTF">2026-04-06T19:42:59Z</dcterms:modified>
</cp:coreProperties>
</file>